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Base_Dados" sheetId="2" state="visible" r:id="rId2"/>
    <sheet xmlns:r="http://schemas.openxmlformats.org/officeDocument/2006/relationships" name="Guia_Autoeducativo" sheetId="3" state="visible" r:id="rId3"/>
    <sheet xmlns:r="http://schemas.openxmlformats.org/officeDocument/2006/relationships" name="Dicionario" sheetId="4" state="visible" r:id="rId4"/>
  </sheets>
  <definedNames>
    <definedName name="_xlnm._FilterDatabase" localSheetId="1" hidden="1">'Base_Dados'!$A$1:$Q$101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4"/>
    </font>
    <font>
      <i val="1"/>
      <color rgb="00666666"/>
    </font>
    <font>
      <b val="1"/>
    </font>
    <font>
      <b val="1"/>
      <color rgb="00FFFFFF"/>
      <sz val="11"/>
    </font>
    <font>
      <b val="1"/>
      <color rgb="00111111"/>
      <sz val="18"/>
    </font>
    <font>
      <b val="1"/>
      <color rgb="00FFFFFF"/>
      <sz val="20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C9A227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" fillId="3" borderId="0" pivotButton="0" quotePrefix="0" xfId="0"/>
    <xf numFmtId="0" fontId="4" fillId="0" borderId="0" pivotButton="0" quotePrefix="0" xfId="0"/>
    <xf numFmtId="0" fontId="4" fillId="4" borderId="1" pivotButton="0" quotePrefix="0" xfId="0"/>
    <xf numFmtId="0" fontId="5" fillId="2" borderId="0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164" fontId="6" fillId="5" borderId="1" applyAlignment="1" pivotButton="0" quotePrefix="0" xfId="0">
      <alignment horizontal="center"/>
    </xf>
    <xf numFmtId="3" fontId="6" fillId="5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/>
    </xf>
    <xf numFmtId="3" fontId="0" fillId="0" borderId="0" pivotButton="0" quotePrefix="0" xfId="0"/>
    <xf numFmtId="165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Faturamento por modelo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'Dashboard'!$A$17:$A$56</f>
            </numRef>
          </cat>
          <val>
            <numRef>
              <f>'Dashboard'!$C$17:$C$56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US$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Distribuição por status</a:t>
            </a:r>
          </a:p>
        </rich>
      </tx>
    </title>
    <plotArea>
      <pieChart>
        <varyColors val="1"/>
        <ser>
          <idx val="0"/>
          <order val="0"/>
          <tx>
            <strRef>
              <f>'Dashboard'!F16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'Dashboard'!$E$17:$E$26</f>
            </numRef>
          </cat>
          <val>
            <numRef>
              <f>'Dashboard'!$F$17:$F$26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58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34</row>
      <rowOff>0</rowOff>
    </from>
    <ext cx="39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Porsche" displayName="tblPorsche" ref="A1:Q101" headerRowCount="1">
  <autoFilter ref="A1:Q101"/>
  <tableColumns count="17">
    <tableColumn id="1" name="sale_id"/>
    <tableColumn id="2" name="SaleDateSanitized"/>
    <tableColumn id="3" name="customer_name"/>
    <tableColumn id="4" name="PorscheModelSanitized"/>
    <tableColumn id="5" name="ModelYearSanitized"/>
    <tableColumn id="6" name="SalesPriceSanitized"/>
    <tableColumn id="7" name="VehicleMileageSanitized"/>
    <tableColumn id="8" name="PayMethodSanitized"/>
    <tableColumn id="9" name="CitySanitized"/>
    <tableColumn id="10" name="StateSanitized"/>
    <tableColumn id="11" name="salesperson"/>
    <tableColumn id="12" name="DeliveryStatusSanitized"/>
    <tableColumn id="13" name="Data_Valida"/>
    <tableColumn id="14" name="Ano"/>
    <tableColumn id="15" name="Mes"/>
    <tableColumn id="16" name="Mes_Ano"/>
    <tableColumn id="17" name="Faixa_Prec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"/>
  <sheetViews>
    <sheetView showGridLines="0" workbookViewId="0">
      <selection activeCell="A1" sqref="A1"/>
    </sheetView>
  </sheetViews>
  <sheetFormatPr baseColWidth="8" defaultRowHeight="15"/>
  <cols>
    <col hidden="1" width="13" customWidth="1" min="16" max="16"/>
    <col hidden="1" width="13" customWidth="1" min="17" max="17"/>
  </cols>
  <sheetData>
    <row r="1">
      <c r="A1" s="1" t="inlineStr">
        <is>
          <t>PORSCHE | DASHBOARD DE VENDAS</t>
        </is>
      </c>
      <c r="P1" t="inlineStr">
        <is>
          <t>Modelos</t>
        </is>
      </c>
      <c r="Q1" t="inlineStr">
        <is>
          <t>Status</t>
        </is>
      </c>
    </row>
    <row r="2">
      <c r="P2" t="inlineStr">
        <is>
          <t>Todos</t>
        </is>
      </c>
      <c r="Q2" t="inlineStr">
        <is>
          <t>Todos</t>
        </is>
      </c>
    </row>
    <row r="3">
      <c r="A3" s="2" t="inlineStr">
        <is>
          <t>Painel interativo e autoeducativo — altere os filtros amarelos para explorar os dados.</t>
        </is>
      </c>
      <c r="P3" t="inlineStr">
        <is>
          <t>718 Boxster</t>
        </is>
      </c>
      <c r="Q3" t="inlineStr">
        <is>
          <t>Awaiting Delivery</t>
        </is>
      </c>
    </row>
    <row r="4">
      <c r="P4" t="inlineStr">
        <is>
          <t>718 Boxster GTS</t>
        </is>
      </c>
      <c r="Q4" t="inlineStr">
        <is>
          <t>Awaiting Pickup</t>
        </is>
      </c>
    </row>
    <row r="5">
      <c r="A5" s="3" t="inlineStr">
        <is>
          <t>FILTROS</t>
        </is>
      </c>
      <c r="P5" t="inlineStr">
        <is>
          <t>718 Cayman</t>
        </is>
      </c>
      <c r="Q5" t="inlineStr">
        <is>
          <t>Awaiting Review</t>
        </is>
      </c>
    </row>
    <row r="6">
      <c r="A6" s="4" t="inlineStr">
        <is>
          <t>Modelo</t>
        </is>
      </c>
      <c r="B6" s="5" t="inlineStr">
        <is>
          <t>Todos</t>
        </is>
      </c>
      <c r="C6" s="4" t="inlineStr">
        <is>
          <t>Status da entrega</t>
        </is>
      </c>
      <c r="D6" s="5" t="inlineStr">
        <is>
          <t>Todos</t>
        </is>
      </c>
      <c r="P6" t="inlineStr">
        <is>
          <t>718 Cayman GT4 RS</t>
        </is>
      </c>
      <c r="Q6" t="inlineStr">
        <is>
          <t>Cancelled</t>
        </is>
      </c>
    </row>
    <row r="7">
      <c r="P7" t="inlineStr">
        <is>
          <t>718 Cayman S</t>
        </is>
      </c>
      <c r="Q7" t="inlineStr">
        <is>
          <t>Delivered</t>
        </is>
      </c>
    </row>
    <row r="8">
      <c r="A8" s="6" t="inlineStr">
        <is>
          <t>TOTAL DE VENDAS</t>
        </is>
      </c>
      <c r="D8" s="6" t="inlineStr">
        <is>
          <t>FATURAMENTO</t>
        </is>
      </c>
      <c r="G8" s="6" t="inlineStr">
        <is>
          <t>TICKET MÉDIO</t>
        </is>
      </c>
      <c r="J8" s="6" t="inlineStr">
        <is>
          <t>QUILOMETRAGEM MÉDIA</t>
        </is>
      </c>
      <c r="P8" t="inlineStr">
        <is>
          <t>718 Spyder RS</t>
        </is>
      </c>
      <c r="Q8" t="inlineStr">
        <is>
          <t>In Transit</t>
        </is>
      </c>
    </row>
    <row r="9">
      <c r="A9" s="7">
        <f>SUMPRODUCT(--((Base_Dados!$D$2:$D$101=$B$6)+($B$6="Todos")&gt;0),--((Base_Dados!$L$2:$L$101=$D$6)+($D$6="Todos")&gt;0),--(Base_Dados!$F$2:$F$101&lt;&gt;""))</f>
        <v/>
      </c>
      <c r="D9" s="8">
        <f>SUMPRODUCT(((Base_Dados!$D$2:$D$101=$B$6)+($B$6="Todos")&gt;0)*((Base_Dados!$L$2:$L$101=$D$6)+($D$6="Todos")&gt;0)*N(Base_Dados!$F$2:$F$101))</f>
        <v/>
      </c>
      <c r="G9" s="8">
        <f>IFERROR(D9/A9,0)</f>
        <v/>
      </c>
      <c r="J9" s="9">
        <f>IFERROR(SUMPRODUCT(((Base_Dados!$D$2:$D$101=$B$6)+($B$6="Todos")&gt;0)*((Base_Dados!$L$2:$L$101=$D$6)+($D$6="Todos")&gt;0)*N(Base_Dados!$G$2:$G$101))/A9,0)</f>
        <v/>
      </c>
      <c r="P9" t="inlineStr">
        <is>
          <t>911 Carrera</t>
        </is>
      </c>
      <c r="Q9" t="inlineStr">
        <is>
          <t>Pending</t>
        </is>
      </c>
    </row>
    <row r="10">
      <c r="P10" t="inlineStr">
        <is>
          <t>911 Carrera Cabriolet</t>
        </is>
      </c>
      <c r="Q10" t="inlineStr">
        <is>
          <t>Pending Approval</t>
        </is>
      </c>
    </row>
    <row r="11">
      <c r="A11" s="10" t="inlineStr">
        <is>
          <t>COMO LER O PAINEL</t>
        </is>
      </c>
      <c r="P11" t="inlineStr">
        <is>
          <t>911 Carrera GTS</t>
        </is>
      </c>
      <c r="Q11" t="inlineStr">
        <is>
          <t>Pending Review</t>
        </is>
      </c>
    </row>
    <row r="12">
      <c r="A12" s="4" t="inlineStr">
        <is>
          <t>Total de vendas</t>
        </is>
      </c>
      <c r="D12" s="4" t="inlineStr">
        <is>
          <t>Faturamento</t>
        </is>
      </c>
      <c r="G12" s="4" t="inlineStr">
        <is>
          <t>Ticket médio</t>
        </is>
      </c>
      <c r="J12" s="4" t="inlineStr">
        <is>
          <t>Quilometragem média</t>
        </is>
      </c>
      <c r="P12" t="inlineStr">
        <is>
          <t>911 Carrera S</t>
        </is>
      </c>
      <c r="Q12" t="inlineStr">
        <is>
          <t>Shipped</t>
        </is>
      </c>
    </row>
    <row r="13">
      <c r="A13" s="11" t="inlineStr">
        <is>
          <t>quantidade de registros de vendas que atendem aos filtros.</t>
        </is>
      </c>
      <c r="D13" s="11" t="inlineStr">
        <is>
          <t>soma dos preços de venda após os filtros.</t>
        </is>
      </c>
      <c r="G13" s="11" t="inlineStr">
        <is>
          <t>faturamento dividido pelo número de vendas.</t>
        </is>
      </c>
      <c r="J13" s="11" t="inlineStr">
        <is>
          <t>média da quilometragem dos veículos filtrados.</t>
        </is>
      </c>
      <c r="P13" t="inlineStr">
        <is>
          <t>911 Dakar</t>
        </is>
      </c>
    </row>
    <row r="14">
      <c r="P14" t="inlineStr">
        <is>
          <t>911 GT3</t>
        </is>
      </c>
    </row>
    <row r="15">
      <c r="A15" s="12" t="inlineStr">
        <is>
          <t>VENDAS POR MODELO</t>
        </is>
      </c>
      <c r="E15" s="12" t="inlineStr">
        <is>
          <t>STATUS DE ENTREGA</t>
        </is>
      </c>
      <c r="H15" s="12" t="inlineStr">
        <is>
          <t>FORMA DE PAGAMENTO</t>
        </is>
      </c>
      <c r="P15" t="inlineStr">
        <is>
          <t>911 GT3 RS</t>
        </is>
      </c>
    </row>
    <row r="16">
      <c r="A16" s="4" t="inlineStr">
        <is>
          <t>Modelo</t>
        </is>
      </c>
      <c r="B16" s="4" t="inlineStr">
        <is>
          <t>Vendas</t>
        </is>
      </c>
      <c r="C16" s="4" t="inlineStr">
        <is>
          <t>Faturamento</t>
        </is>
      </c>
      <c r="E16" s="4" t="inlineStr">
        <is>
          <t>Status</t>
        </is>
      </c>
      <c r="F16" s="4" t="inlineStr">
        <is>
          <t>Vendas</t>
        </is>
      </c>
      <c r="H16" s="4" t="inlineStr">
        <is>
          <t>Forma</t>
        </is>
      </c>
      <c r="I16" s="4" t="inlineStr">
        <is>
          <t>Vendas</t>
        </is>
      </c>
      <c r="J16" s="4" t="inlineStr">
        <is>
          <t>Faturamento</t>
        </is>
      </c>
      <c r="P16" t="inlineStr">
        <is>
          <t>911 Targa 4</t>
        </is>
      </c>
    </row>
    <row r="17">
      <c r="A17" t="inlineStr">
        <is>
          <t>718 Boxster</t>
        </is>
      </c>
      <c r="B17">
        <f>SUMPRODUCT(--((Base_Dados!$D$2:$D$101=A17)+($B$6="Todos")&gt;0),--((Base_Dados!$L$2:$L$101=$D$6)+($D$6="Todos")&gt;0),--(Base_Dados!$F$2:$F$101&lt;&gt;""))</f>
        <v/>
      </c>
      <c r="C17" s="13">
        <f>SUMPRODUCT(((Base_Dados!$D$2:$D$101=A17)+($B$6="Todos")&gt;0)*((Base_Dados!$L$2:$L$101=$D$6)+($D$6="Todos")&gt;0)*N(Base_Dados!$F$2:$F$101))</f>
        <v/>
      </c>
      <c r="E17" t="inlineStr">
        <is>
          <t>Awaiting Delivery</t>
        </is>
      </c>
      <c r="F17">
        <f>SUMPRODUCT(--((Base_Dados!$L$2:$L$101=E17)+($D$6="Todos")&gt;0),--((Base_Dados!$D$2:$D$101=$B$6)+($B$6="Todos")&gt;0),--(Base_Dados!$F$2:$F$101&lt;&gt;""))</f>
        <v/>
      </c>
      <c r="H17" t="inlineStr">
        <is>
          <t>ACH Payment</t>
        </is>
      </c>
      <c r="I17">
        <f>SUMPRODUCT(--((Base_Dados!$H$2:$H$101=H17)),--((Base_Dados!$D$2:$D$101=$B$6)+($B$6="Todos")&gt;0),--((Base_Dados!$L$2:$L$101=$D$6)+($D$6="Todos")&gt;0),--(Base_Dados!$F$2:$F$101&lt;&gt;""))</f>
        <v/>
      </c>
      <c r="J17" s="13">
        <f>SUMPRODUCT((Base_Dados!$H$2:$H$101=H17)*((Base_Dados!$D$2:$D$101=$B$6)+($B$6="Todos")&gt;0)*((Base_Dados!$L$2:$L$101=$D$6)+($D$6="Todos")&gt;0)*N(Base_Dados!$F$2:$F$101))</f>
        <v/>
      </c>
      <c r="P17" t="inlineStr">
        <is>
          <t>911 Targa 4S</t>
        </is>
      </c>
    </row>
    <row r="18">
      <c r="A18" t="inlineStr">
        <is>
          <t>718 Boxster GTS</t>
        </is>
      </c>
      <c r="B18">
        <f>SUMPRODUCT(--((Base_Dados!$D$2:$D$101=A18)+($B$6="Todos")&gt;0),--((Base_Dados!$L$2:$L$101=$D$6)+($D$6="Todos")&gt;0),--(Base_Dados!$F$2:$F$101&lt;&gt;""))</f>
        <v/>
      </c>
      <c r="C18" s="13">
        <f>SUMPRODUCT(((Base_Dados!$D$2:$D$101=A18)+($B$6="Todos")&gt;0)*((Base_Dados!$L$2:$L$101=$D$6)+($D$6="Todos")&gt;0)*N(Base_Dados!$F$2:$F$101))</f>
        <v/>
      </c>
      <c r="E18" t="inlineStr">
        <is>
          <t>Awaiting Pickup</t>
        </is>
      </c>
      <c r="F18">
        <f>SUMPRODUCT(--((Base_Dados!$L$2:$L$101=E18)+($D$6="Todos")&gt;0),--((Base_Dados!$D$2:$D$101=$B$6)+($B$6="Todos")&gt;0),--(Base_Dados!$F$2:$F$101&lt;&gt;""))</f>
        <v/>
      </c>
      <c r="H18" t="inlineStr">
        <is>
          <t>Bank Transfer</t>
        </is>
      </c>
      <c r="I18">
        <f>SUMPRODUCT(--((Base_Dados!$H$2:$H$101=H18)),--((Base_Dados!$D$2:$D$101=$B$6)+($B$6="Todos")&gt;0),--((Base_Dados!$L$2:$L$101=$D$6)+($D$6="Todos")&gt;0),--(Base_Dados!$F$2:$F$101&lt;&gt;""))</f>
        <v/>
      </c>
      <c r="J18" s="13">
        <f>SUMPRODUCT((Base_Dados!$H$2:$H$101=H18)*((Base_Dados!$D$2:$D$101=$B$6)+($B$6="Todos")&gt;0)*((Base_Dados!$L$2:$L$101=$D$6)+($D$6="Todos")&gt;0)*N(Base_Dados!$F$2:$F$101))</f>
        <v/>
      </c>
      <c r="P18" t="inlineStr">
        <is>
          <t>911 Turbo</t>
        </is>
      </c>
    </row>
    <row r="19">
      <c r="A19" t="inlineStr">
        <is>
          <t>718 Cayman</t>
        </is>
      </c>
      <c r="B19">
        <f>SUMPRODUCT(--((Base_Dados!$D$2:$D$101=A19)+($B$6="Todos")&gt;0),--((Base_Dados!$L$2:$L$101=$D$6)+($D$6="Todos")&gt;0),--(Base_Dados!$F$2:$F$101&lt;&gt;""))</f>
        <v/>
      </c>
      <c r="C19" s="13">
        <f>SUMPRODUCT(((Base_Dados!$D$2:$D$101=A19)+($B$6="Todos")&gt;0)*((Base_Dados!$L$2:$L$101=$D$6)+($D$6="Todos")&gt;0)*N(Base_Dados!$F$2:$F$101))</f>
        <v/>
      </c>
      <c r="E19" t="inlineStr">
        <is>
          <t>Awaiting Review</t>
        </is>
      </c>
      <c r="F19">
        <f>SUMPRODUCT(--((Base_Dados!$L$2:$L$101=E19)+($D$6="Todos")&gt;0),--((Base_Dados!$D$2:$D$101=$B$6)+($B$6="Todos")&gt;0),--(Base_Dados!$F$2:$F$101&lt;&gt;""))</f>
        <v/>
      </c>
      <c r="H19" t="inlineStr">
        <is>
          <t>Cash</t>
        </is>
      </c>
      <c r="I19">
        <f>SUMPRODUCT(--((Base_Dados!$H$2:$H$101=H19)),--((Base_Dados!$D$2:$D$101=$B$6)+($B$6="Todos")&gt;0),--((Base_Dados!$L$2:$L$101=$D$6)+($D$6="Todos")&gt;0),--(Base_Dados!$F$2:$F$101&lt;&gt;""))</f>
        <v/>
      </c>
      <c r="J19" s="13">
        <f>SUMPRODUCT((Base_Dados!$H$2:$H$101=H19)*((Base_Dados!$D$2:$D$101=$B$6)+($B$6="Todos")&gt;0)*((Base_Dados!$L$2:$L$101=$D$6)+($D$6="Todos")&gt;0)*N(Base_Dados!$F$2:$F$101))</f>
        <v/>
      </c>
      <c r="P19" t="inlineStr">
        <is>
          <t>911 Turbo S</t>
        </is>
      </c>
    </row>
    <row r="20">
      <c r="A20" t="inlineStr">
        <is>
          <t>718 Cayman GT4 RS</t>
        </is>
      </c>
      <c r="B20">
        <f>SUMPRODUCT(--((Base_Dados!$D$2:$D$101=A20)+($B$6="Todos")&gt;0),--((Base_Dados!$L$2:$L$101=$D$6)+($D$6="Todos")&gt;0),--(Base_Dados!$F$2:$F$101&lt;&gt;""))</f>
        <v/>
      </c>
      <c r="C20" s="13">
        <f>SUMPRODUCT(((Base_Dados!$D$2:$D$101=A20)+($B$6="Todos")&gt;0)*((Base_Dados!$L$2:$L$101=$D$6)+($D$6="Todos")&gt;0)*N(Base_Dados!$F$2:$F$101))</f>
        <v/>
      </c>
      <c r="E20" t="inlineStr">
        <is>
          <t>Cancelled</t>
        </is>
      </c>
      <c r="F20">
        <f>SUMPRODUCT(--((Base_Dados!$L$2:$L$101=E20)+($D$6="Todos")&gt;0),--((Base_Dados!$D$2:$D$101=$B$6)+($B$6="Todos")&gt;0),--(Base_Dados!$F$2:$F$101&lt;&gt;""))</f>
        <v/>
      </c>
      <c r="H20" t="inlineStr">
        <is>
          <t>Credit Card</t>
        </is>
      </c>
      <c r="I20">
        <f>SUMPRODUCT(--((Base_Dados!$H$2:$H$101=H20)),--((Base_Dados!$D$2:$D$101=$B$6)+($B$6="Todos")&gt;0),--((Base_Dados!$L$2:$L$101=$D$6)+($D$6="Todos")&gt;0),--(Base_Dados!$F$2:$F$101&lt;&gt;""))</f>
        <v/>
      </c>
      <c r="J20" s="13">
        <f>SUMPRODUCT((Base_Dados!$H$2:$H$101=H20)*((Base_Dados!$D$2:$D$101=$B$6)+($B$6="Todos")&gt;0)*((Base_Dados!$L$2:$L$101=$D$6)+($D$6="Todos")&gt;0)*N(Base_Dados!$F$2:$F$101))</f>
        <v/>
      </c>
      <c r="P20" t="inlineStr">
        <is>
          <t>Cayenne</t>
        </is>
      </c>
    </row>
    <row r="21">
      <c r="A21" t="inlineStr">
        <is>
          <t>718 Cayman S</t>
        </is>
      </c>
      <c r="B21">
        <f>SUMPRODUCT(--((Base_Dados!$D$2:$D$101=A21)+($B$6="Todos")&gt;0),--((Base_Dados!$L$2:$L$101=$D$6)+($D$6="Todos")&gt;0),--(Base_Dados!$F$2:$F$101&lt;&gt;""))</f>
        <v/>
      </c>
      <c r="C21" s="13">
        <f>SUMPRODUCT(((Base_Dados!$D$2:$D$101=A21)+($B$6="Todos")&gt;0)*((Base_Dados!$L$2:$L$101=$D$6)+($D$6="Todos")&gt;0)*N(Base_Dados!$F$2:$F$101))</f>
        <v/>
      </c>
      <c r="E21" t="inlineStr">
        <is>
          <t>Delivered</t>
        </is>
      </c>
      <c r="F21">
        <f>SUMPRODUCT(--((Base_Dados!$L$2:$L$101=E21)+($D$6="Todos")&gt;0),--((Base_Dados!$D$2:$D$101=$B$6)+($B$6="Todos")&gt;0),--(Base_Dados!$F$2:$F$101&lt;&gt;""))</f>
        <v/>
      </c>
      <c r="H21" t="inlineStr">
        <is>
          <t>Crypto Payment</t>
        </is>
      </c>
      <c r="I21">
        <f>SUMPRODUCT(--((Base_Dados!$H$2:$H$101=H21)),--((Base_Dados!$D$2:$D$101=$B$6)+($B$6="Todos")&gt;0),--((Base_Dados!$L$2:$L$101=$D$6)+($D$6="Todos")&gt;0),--(Base_Dados!$F$2:$F$101&lt;&gt;""))</f>
        <v/>
      </c>
      <c r="J21" s="13">
        <f>SUMPRODUCT((Base_Dados!$H$2:$H$101=H21)*((Base_Dados!$D$2:$D$101=$B$6)+($B$6="Todos")&gt;0)*((Base_Dados!$L$2:$L$101=$D$6)+($D$6="Todos")&gt;0)*N(Base_Dados!$F$2:$F$101))</f>
        <v/>
      </c>
      <c r="P21" t="inlineStr">
        <is>
          <t>Cayenne Coupe</t>
        </is>
      </c>
    </row>
    <row r="22">
      <c r="A22" t="inlineStr">
        <is>
          <t>718 Spyder RS</t>
        </is>
      </c>
      <c r="B22">
        <f>SUMPRODUCT(--((Base_Dados!$D$2:$D$101=A22)+($B$6="Todos")&gt;0),--((Base_Dados!$L$2:$L$101=$D$6)+($D$6="Todos")&gt;0),--(Base_Dados!$F$2:$F$101&lt;&gt;""))</f>
        <v/>
      </c>
      <c r="C22" s="13">
        <f>SUMPRODUCT(((Base_Dados!$D$2:$D$101=A22)+($B$6="Todos")&gt;0)*((Base_Dados!$L$2:$L$101=$D$6)+($D$6="Todos")&gt;0)*N(Base_Dados!$F$2:$F$101))</f>
        <v/>
      </c>
      <c r="E22" t="inlineStr">
        <is>
          <t>In Transit</t>
        </is>
      </c>
      <c r="F22">
        <f>SUMPRODUCT(--((Base_Dados!$L$2:$L$101=E22)+($D$6="Todos")&gt;0),--((Base_Dados!$D$2:$D$101=$B$6)+($B$6="Todos")&gt;0),--(Base_Dados!$F$2:$F$101&lt;&gt;""))</f>
        <v/>
      </c>
      <c r="H22" t="inlineStr">
        <is>
          <t>Debit Card</t>
        </is>
      </c>
      <c r="I22">
        <f>SUMPRODUCT(--((Base_Dados!$H$2:$H$101=H22)),--((Base_Dados!$D$2:$D$101=$B$6)+($B$6="Todos")&gt;0),--((Base_Dados!$L$2:$L$101=$D$6)+($D$6="Todos")&gt;0),--(Base_Dados!$F$2:$F$101&lt;&gt;""))</f>
        <v/>
      </c>
      <c r="J22" s="13">
        <f>SUMPRODUCT((Base_Dados!$H$2:$H$101=H22)*((Base_Dados!$D$2:$D$101=$B$6)+($B$6="Todos")&gt;0)*((Base_Dados!$L$2:$L$101=$D$6)+($D$6="Todos")&gt;0)*N(Base_Dados!$F$2:$F$101))</f>
        <v/>
      </c>
      <c r="P22" t="inlineStr">
        <is>
          <t>Cayenne E-Hybrid</t>
        </is>
      </c>
    </row>
    <row r="23">
      <c r="A23" t="inlineStr">
        <is>
          <t>911 Carrera</t>
        </is>
      </c>
      <c r="B23">
        <f>SUMPRODUCT(--((Base_Dados!$D$2:$D$101=A23)+($B$6="Todos")&gt;0),--((Base_Dados!$L$2:$L$101=$D$6)+($D$6="Todos")&gt;0),--(Base_Dados!$F$2:$F$101&lt;&gt;""))</f>
        <v/>
      </c>
      <c r="C23" s="13">
        <f>SUMPRODUCT(((Base_Dados!$D$2:$D$101=A23)+($B$6="Todos")&gt;0)*((Base_Dados!$L$2:$L$101=$D$6)+($D$6="Todos")&gt;0)*N(Base_Dados!$F$2:$F$101))</f>
        <v/>
      </c>
      <c r="E23" t="inlineStr">
        <is>
          <t>Pending</t>
        </is>
      </c>
      <c r="F23">
        <f>SUMPRODUCT(--((Base_Dados!$L$2:$L$101=E23)+($D$6="Todos")&gt;0),--((Base_Dados!$D$2:$D$101=$B$6)+($B$6="Todos")&gt;0),--(Base_Dados!$F$2:$F$101&lt;&gt;""))</f>
        <v/>
      </c>
      <c r="H23" t="inlineStr">
        <is>
          <t>Financing</t>
        </is>
      </c>
      <c r="I23">
        <f>SUMPRODUCT(--((Base_Dados!$H$2:$H$101=H23)),--((Base_Dados!$D$2:$D$101=$B$6)+($B$6="Todos")&gt;0),--((Base_Dados!$L$2:$L$101=$D$6)+($D$6="Todos")&gt;0),--(Base_Dados!$F$2:$F$101&lt;&gt;""))</f>
        <v/>
      </c>
      <c r="J23" s="13">
        <f>SUMPRODUCT((Base_Dados!$H$2:$H$101=H23)*((Base_Dados!$D$2:$D$101=$B$6)+($B$6="Todos")&gt;0)*((Base_Dados!$L$2:$L$101=$D$6)+($D$6="Todos")&gt;0)*N(Base_Dados!$F$2:$F$101))</f>
        <v/>
      </c>
      <c r="P23" t="inlineStr">
        <is>
          <t>Cayenne S</t>
        </is>
      </c>
    </row>
    <row r="24">
      <c r="A24" t="inlineStr">
        <is>
          <t>911 Carrera Cabriolet</t>
        </is>
      </c>
      <c r="B24">
        <f>SUMPRODUCT(--((Base_Dados!$D$2:$D$101=A24)+($B$6="Todos")&gt;0),--((Base_Dados!$L$2:$L$101=$D$6)+($D$6="Todos")&gt;0),--(Base_Dados!$F$2:$F$101&lt;&gt;""))</f>
        <v/>
      </c>
      <c r="C24" s="13">
        <f>SUMPRODUCT(((Base_Dados!$D$2:$D$101=A24)+($B$6="Todos")&gt;0)*((Base_Dados!$L$2:$L$101=$D$6)+($D$6="Todos")&gt;0)*N(Base_Dados!$F$2:$F$101))</f>
        <v/>
      </c>
      <c r="E24" t="inlineStr">
        <is>
          <t>Pending Approval</t>
        </is>
      </c>
      <c r="F24">
        <f>SUMPRODUCT(--((Base_Dados!$L$2:$L$101=E24)+($D$6="Todos")&gt;0),--((Base_Dados!$D$2:$D$101=$B$6)+($B$6="Todos")&gt;0),--(Base_Dados!$F$2:$F$101&lt;&gt;""))</f>
        <v/>
      </c>
      <c r="H24" t="inlineStr">
        <is>
          <t>Lease</t>
        </is>
      </c>
      <c r="I24">
        <f>SUMPRODUCT(--((Base_Dados!$H$2:$H$101=H24)),--((Base_Dados!$D$2:$D$101=$B$6)+($B$6="Todos")&gt;0),--((Base_Dados!$L$2:$L$101=$D$6)+($D$6="Todos")&gt;0),--(Base_Dados!$F$2:$F$101&lt;&gt;""))</f>
        <v/>
      </c>
      <c r="J24" s="13">
        <f>SUMPRODUCT((Base_Dados!$H$2:$H$101=H24)*((Base_Dados!$D$2:$D$101=$B$6)+($B$6="Todos")&gt;0)*((Base_Dados!$L$2:$L$101=$D$6)+($D$6="Todos")&gt;0)*N(Base_Dados!$F$2:$F$101))</f>
        <v/>
      </c>
      <c r="P24" t="inlineStr">
        <is>
          <t>Cayenne Turbo</t>
        </is>
      </c>
    </row>
    <row r="25">
      <c r="A25" t="inlineStr">
        <is>
          <t>911 Carrera GTS</t>
        </is>
      </c>
      <c r="B25">
        <f>SUMPRODUCT(--((Base_Dados!$D$2:$D$101=A25)+($B$6="Todos")&gt;0),--((Base_Dados!$L$2:$L$101=$D$6)+($D$6="Todos")&gt;0),--(Base_Dados!$F$2:$F$101&lt;&gt;""))</f>
        <v/>
      </c>
      <c r="C25" s="13">
        <f>SUMPRODUCT(((Base_Dados!$D$2:$D$101=A25)+($B$6="Todos")&gt;0)*((Base_Dados!$L$2:$L$101=$D$6)+($D$6="Todos")&gt;0)*N(Base_Dados!$F$2:$F$101))</f>
        <v/>
      </c>
      <c r="E25" t="inlineStr">
        <is>
          <t>Pending Review</t>
        </is>
      </c>
      <c r="F25">
        <f>SUMPRODUCT(--((Base_Dados!$L$2:$L$101=E25)+($D$6="Todos")&gt;0),--((Base_Dados!$D$2:$D$101=$B$6)+($B$6="Todos")&gt;0),--(Base_Dados!$F$2:$F$101&lt;&gt;""))</f>
        <v/>
      </c>
      <c r="H25" t="inlineStr">
        <is>
          <t>Wire Transfer</t>
        </is>
      </c>
      <c r="I25">
        <f>SUMPRODUCT(--((Base_Dados!$H$2:$H$101=H25)),--((Base_Dados!$D$2:$D$101=$B$6)+($B$6="Todos")&gt;0),--((Base_Dados!$L$2:$L$101=$D$6)+($D$6="Todos")&gt;0),--(Base_Dados!$F$2:$F$101&lt;&gt;""))</f>
        <v/>
      </c>
      <c r="J25" s="13">
        <f>SUMPRODUCT((Base_Dados!$H$2:$H$101=H25)*((Base_Dados!$D$2:$D$101=$B$6)+($B$6="Todos")&gt;0)*((Base_Dados!$L$2:$L$101=$D$6)+($D$6="Todos")&gt;0)*N(Base_Dados!$F$2:$F$101))</f>
        <v/>
      </c>
      <c r="P25" t="inlineStr">
        <is>
          <t>Cayenne Turbo GT</t>
        </is>
      </c>
    </row>
    <row r="26">
      <c r="A26" t="inlineStr">
        <is>
          <t>911 Carrera S</t>
        </is>
      </c>
      <c r="B26">
        <f>SUMPRODUCT(--((Base_Dados!$D$2:$D$101=A26)+($B$6="Todos")&gt;0),--((Base_Dados!$L$2:$L$101=$D$6)+($D$6="Todos")&gt;0),--(Base_Dados!$F$2:$F$101&lt;&gt;""))</f>
        <v/>
      </c>
      <c r="C26" s="13">
        <f>SUMPRODUCT(((Base_Dados!$D$2:$D$101=A26)+($B$6="Todos")&gt;0)*((Base_Dados!$L$2:$L$101=$D$6)+($D$6="Todos")&gt;0)*N(Base_Dados!$F$2:$F$101))</f>
        <v/>
      </c>
      <c r="E26" t="inlineStr">
        <is>
          <t>Shipped</t>
        </is>
      </c>
      <c r="F26">
        <f>SUMPRODUCT(--((Base_Dados!$L$2:$L$101=E26)+($D$6="Todos")&gt;0),--((Base_Dados!$D$2:$D$101=$B$6)+($B$6="Todos")&gt;0),--(Base_Dados!$F$2:$F$101&lt;&gt;""))</f>
        <v/>
      </c>
      <c r="P26" t="inlineStr">
        <is>
          <t>Macan</t>
        </is>
      </c>
    </row>
    <row r="27">
      <c r="A27" t="inlineStr">
        <is>
          <t>911 Dakar</t>
        </is>
      </c>
      <c r="B27">
        <f>SUMPRODUCT(--((Base_Dados!$D$2:$D$101=A27)+($B$6="Todos")&gt;0),--((Base_Dados!$L$2:$L$101=$D$6)+($D$6="Todos")&gt;0),--(Base_Dados!$F$2:$F$101&lt;&gt;""))</f>
        <v/>
      </c>
      <c r="C27" s="13">
        <f>SUMPRODUCT(((Base_Dados!$D$2:$D$101=A27)+($B$6="Todos")&gt;0)*((Base_Dados!$L$2:$L$101=$D$6)+($D$6="Todos")&gt;0)*N(Base_Dados!$F$2:$F$101))</f>
        <v/>
      </c>
      <c r="P27" t="inlineStr">
        <is>
          <t>Macan Electric</t>
        </is>
      </c>
    </row>
    <row r="28">
      <c r="A28" t="inlineStr">
        <is>
          <t>911 GT3</t>
        </is>
      </c>
      <c r="B28">
        <f>SUMPRODUCT(--((Base_Dados!$D$2:$D$101=A28)+($B$6="Todos")&gt;0),--((Base_Dados!$L$2:$L$101=$D$6)+($D$6="Todos")&gt;0),--(Base_Dados!$F$2:$F$101&lt;&gt;""))</f>
        <v/>
      </c>
      <c r="C28" s="13">
        <f>SUMPRODUCT(((Base_Dados!$D$2:$D$101=A28)+($B$6="Todos")&gt;0)*((Base_Dados!$L$2:$L$101=$D$6)+($D$6="Todos")&gt;0)*N(Base_Dados!$F$2:$F$101))</f>
        <v/>
      </c>
      <c r="P28" t="inlineStr">
        <is>
          <t>Macan GTS</t>
        </is>
      </c>
    </row>
    <row r="29">
      <c r="A29" t="inlineStr">
        <is>
          <t>911 GT3 RS</t>
        </is>
      </c>
      <c r="B29">
        <f>SUMPRODUCT(--((Base_Dados!$D$2:$D$101=A29)+($B$6="Todos")&gt;0),--((Base_Dados!$L$2:$L$101=$D$6)+($D$6="Todos")&gt;0),--(Base_Dados!$F$2:$F$101&lt;&gt;""))</f>
        <v/>
      </c>
      <c r="C29" s="13">
        <f>SUMPRODUCT(((Base_Dados!$D$2:$D$101=A29)+($B$6="Todos")&gt;0)*((Base_Dados!$L$2:$L$101=$D$6)+($D$6="Todos")&gt;0)*N(Base_Dados!$F$2:$F$101))</f>
        <v/>
      </c>
      <c r="P29" t="inlineStr">
        <is>
          <t>Macan S</t>
        </is>
      </c>
    </row>
    <row r="30">
      <c r="A30" t="inlineStr">
        <is>
          <t>911 Targa 4</t>
        </is>
      </c>
      <c r="B30">
        <f>SUMPRODUCT(--((Base_Dados!$D$2:$D$101=A30)+($B$6="Todos")&gt;0),--((Base_Dados!$L$2:$L$101=$D$6)+($D$6="Todos")&gt;0),--(Base_Dados!$F$2:$F$101&lt;&gt;""))</f>
        <v/>
      </c>
      <c r="C30" s="13">
        <f>SUMPRODUCT(((Base_Dados!$D$2:$D$101=A30)+($B$6="Todos")&gt;0)*((Base_Dados!$L$2:$L$101=$D$6)+($D$6="Todos")&gt;0)*N(Base_Dados!$F$2:$F$101))</f>
        <v/>
      </c>
      <c r="P30" t="inlineStr">
        <is>
          <t>Macan T</t>
        </is>
      </c>
    </row>
    <row r="31">
      <c r="A31" t="inlineStr">
        <is>
          <t>911 Targa 4S</t>
        </is>
      </c>
      <c r="B31">
        <f>SUMPRODUCT(--((Base_Dados!$D$2:$D$101=A31)+($B$6="Todos")&gt;0),--((Base_Dados!$L$2:$L$101=$D$6)+($D$6="Todos")&gt;0),--(Base_Dados!$F$2:$F$101&lt;&gt;""))</f>
        <v/>
      </c>
      <c r="C31" s="13">
        <f>SUMPRODUCT(((Base_Dados!$D$2:$D$101=A31)+($B$6="Todos")&gt;0)*((Base_Dados!$L$2:$L$101=$D$6)+($D$6="Todos")&gt;0)*N(Base_Dados!$F$2:$F$101))</f>
        <v/>
      </c>
      <c r="P31" t="inlineStr">
        <is>
          <t>Panamera</t>
        </is>
      </c>
    </row>
    <row r="32">
      <c r="A32" t="inlineStr">
        <is>
          <t>911 Turbo</t>
        </is>
      </c>
      <c r="B32">
        <f>SUMPRODUCT(--((Base_Dados!$D$2:$D$101=A32)+($B$6="Todos")&gt;0),--((Base_Dados!$L$2:$L$101=$D$6)+($D$6="Todos")&gt;0),--(Base_Dados!$F$2:$F$101&lt;&gt;""))</f>
        <v/>
      </c>
      <c r="C32" s="13">
        <f>SUMPRODUCT(((Base_Dados!$D$2:$D$101=A32)+($B$6="Todos")&gt;0)*((Base_Dados!$L$2:$L$101=$D$6)+($D$6="Todos")&gt;0)*N(Base_Dados!$F$2:$F$101))</f>
        <v/>
      </c>
      <c r="P32" t="inlineStr">
        <is>
          <t>Panamera 4</t>
        </is>
      </c>
    </row>
    <row r="33">
      <c r="A33" t="inlineStr">
        <is>
          <t>911 Turbo S</t>
        </is>
      </c>
      <c r="B33">
        <f>SUMPRODUCT(--((Base_Dados!$D$2:$D$101=A33)+($B$6="Todos")&gt;0),--((Base_Dados!$L$2:$L$101=$D$6)+($D$6="Todos")&gt;0),--(Base_Dados!$F$2:$F$101&lt;&gt;""))</f>
        <v/>
      </c>
      <c r="C33" s="13">
        <f>SUMPRODUCT(((Base_Dados!$D$2:$D$101=A33)+($B$6="Todos")&gt;0)*((Base_Dados!$L$2:$L$101=$D$6)+($D$6="Todos")&gt;0)*N(Base_Dados!$F$2:$F$101))</f>
        <v/>
      </c>
      <c r="P33" t="inlineStr">
        <is>
          <t>Panamera 4 E-Hybrid</t>
        </is>
      </c>
    </row>
    <row r="34">
      <c r="A34" t="inlineStr">
        <is>
          <t>Cayenne</t>
        </is>
      </c>
      <c r="B34">
        <f>SUMPRODUCT(--((Base_Dados!$D$2:$D$101=A34)+($B$6="Todos")&gt;0),--((Base_Dados!$L$2:$L$101=$D$6)+($D$6="Todos")&gt;0),--(Base_Dados!$F$2:$F$101&lt;&gt;""))</f>
        <v/>
      </c>
      <c r="C34" s="13">
        <f>SUMPRODUCT(((Base_Dados!$D$2:$D$101=A34)+($B$6="Todos")&gt;0)*((Base_Dados!$L$2:$L$101=$D$6)+($D$6="Todos")&gt;0)*N(Base_Dados!$F$2:$F$101))</f>
        <v/>
      </c>
      <c r="P34" t="inlineStr">
        <is>
          <t>Panamera 4S</t>
        </is>
      </c>
    </row>
    <row r="35">
      <c r="A35" t="inlineStr">
        <is>
          <t>Cayenne Coupe</t>
        </is>
      </c>
      <c r="B35">
        <f>SUMPRODUCT(--((Base_Dados!$D$2:$D$101=A35)+($B$6="Todos")&gt;0),--((Base_Dados!$L$2:$L$101=$D$6)+($D$6="Todos")&gt;0),--(Base_Dados!$F$2:$F$101&lt;&gt;""))</f>
        <v/>
      </c>
      <c r="C35" s="13">
        <f>SUMPRODUCT(((Base_Dados!$D$2:$D$101=A35)+($B$6="Todos")&gt;0)*((Base_Dados!$L$2:$L$101=$D$6)+($D$6="Todos")&gt;0)*N(Base_Dados!$F$2:$F$101))</f>
        <v/>
      </c>
      <c r="P35" t="inlineStr">
        <is>
          <t>Panamera Turbo</t>
        </is>
      </c>
    </row>
    <row r="36">
      <c r="A36" t="inlineStr">
        <is>
          <t>Cayenne E-Hybrid</t>
        </is>
      </c>
      <c r="B36">
        <f>SUMPRODUCT(--((Base_Dados!$D$2:$D$101=A36)+($B$6="Todos")&gt;0),--((Base_Dados!$L$2:$L$101=$D$6)+($D$6="Todos")&gt;0),--(Base_Dados!$F$2:$F$101&lt;&gt;""))</f>
        <v/>
      </c>
      <c r="C36" s="13">
        <f>SUMPRODUCT(((Base_Dados!$D$2:$D$101=A36)+($B$6="Todos")&gt;0)*((Base_Dados!$L$2:$L$101=$D$6)+($D$6="Todos")&gt;0)*N(Base_Dados!$F$2:$F$101))</f>
        <v/>
      </c>
      <c r="P36" t="inlineStr">
        <is>
          <t>Panamera Turbo S</t>
        </is>
      </c>
    </row>
    <row r="37">
      <c r="A37" t="inlineStr">
        <is>
          <t>Cayenne S</t>
        </is>
      </c>
      <c r="B37">
        <f>SUMPRODUCT(--((Base_Dados!$D$2:$D$101=A37)+($B$6="Todos")&gt;0),--((Base_Dados!$L$2:$L$101=$D$6)+($D$6="Todos")&gt;0),--(Base_Dados!$F$2:$F$101&lt;&gt;""))</f>
        <v/>
      </c>
      <c r="C37" s="13">
        <f>SUMPRODUCT(((Base_Dados!$D$2:$D$101=A37)+($B$6="Todos")&gt;0)*((Base_Dados!$L$2:$L$101=$D$6)+($D$6="Todos")&gt;0)*N(Base_Dados!$F$2:$F$101))</f>
        <v/>
      </c>
      <c r="P37" t="inlineStr">
        <is>
          <t>Taycan</t>
        </is>
      </c>
    </row>
    <row r="38">
      <c r="A38" t="inlineStr">
        <is>
          <t>Cayenne Turbo</t>
        </is>
      </c>
      <c r="B38">
        <f>SUMPRODUCT(--((Base_Dados!$D$2:$D$101=A38)+($B$6="Todos")&gt;0),--((Base_Dados!$L$2:$L$101=$D$6)+($D$6="Todos")&gt;0),--(Base_Dados!$F$2:$F$101&lt;&gt;""))</f>
        <v/>
      </c>
      <c r="C38" s="13">
        <f>SUMPRODUCT(((Base_Dados!$D$2:$D$101=A38)+($B$6="Todos")&gt;0)*((Base_Dados!$L$2:$L$101=$D$6)+($D$6="Todos")&gt;0)*N(Base_Dados!$F$2:$F$101))</f>
        <v/>
      </c>
      <c r="P38" t="inlineStr">
        <is>
          <t>Taycan 4S</t>
        </is>
      </c>
    </row>
    <row r="39">
      <c r="A39" t="inlineStr">
        <is>
          <t>Cayenne Turbo GT</t>
        </is>
      </c>
      <c r="B39">
        <f>SUMPRODUCT(--((Base_Dados!$D$2:$D$101=A39)+($B$6="Todos")&gt;0),--((Base_Dados!$L$2:$L$101=$D$6)+($D$6="Todos")&gt;0),--(Base_Dados!$F$2:$F$101&lt;&gt;""))</f>
        <v/>
      </c>
      <c r="C39" s="13">
        <f>SUMPRODUCT(((Base_Dados!$D$2:$D$101=A39)+($B$6="Todos")&gt;0)*((Base_Dados!$L$2:$L$101=$D$6)+($D$6="Todos")&gt;0)*N(Base_Dados!$F$2:$F$101))</f>
        <v/>
      </c>
      <c r="P39" t="inlineStr">
        <is>
          <t>Taycan Cross Turismo</t>
        </is>
      </c>
    </row>
    <row r="40">
      <c r="A40" t="inlineStr">
        <is>
          <t>Macan</t>
        </is>
      </c>
      <c r="B40">
        <f>SUMPRODUCT(--((Base_Dados!$D$2:$D$101=A40)+($B$6="Todos")&gt;0),--((Base_Dados!$L$2:$L$101=$D$6)+($D$6="Todos")&gt;0),--(Base_Dados!$F$2:$F$101&lt;&gt;""))</f>
        <v/>
      </c>
      <c r="C40" s="13">
        <f>SUMPRODUCT(((Base_Dados!$D$2:$D$101=A40)+($B$6="Todos")&gt;0)*((Base_Dados!$L$2:$L$101=$D$6)+($D$6="Todos")&gt;0)*N(Base_Dados!$F$2:$F$101))</f>
        <v/>
      </c>
      <c r="P40" t="inlineStr">
        <is>
          <t>Taycan GTS</t>
        </is>
      </c>
    </row>
    <row r="41">
      <c r="A41" t="inlineStr">
        <is>
          <t>Macan Electric</t>
        </is>
      </c>
      <c r="B41">
        <f>SUMPRODUCT(--((Base_Dados!$D$2:$D$101=A41)+($B$6="Todos")&gt;0),--((Base_Dados!$L$2:$L$101=$D$6)+($D$6="Todos")&gt;0),--(Base_Dados!$F$2:$F$101&lt;&gt;""))</f>
        <v/>
      </c>
      <c r="C41" s="13">
        <f>SUMPRODUCT(((Base_Dados!$D$2:$D$101=A41)+($B$6="Todos")&gt;0)*((Base_Dados!$L$2:$L$101=$D$6)+($D$6="Todos")&gt;0)*N(Base_Dados!$F$2:$F$101))</f>
        <v/>
      </c>
      <c r="P41" t="inlineStr">
        <is>
          <t>Taycan Turbo</t>
        </is>
      </c>
    </row>
    <row r="42">
      <c r="A42" t="inlineStr">
        <is>
          <t>Macan GTS</t>
        </is>
      </c>
      <c r="B42">
        <f>SUMPRODUCT(--((Base_Dados!$D$2:$D$101=A42)+($B$6="Todos")&gt;0),--((Base_Dados!$L$2:$L$101=$D$6)+($D$6="Todos")&gt;0),--(Base_Dados!$F$2:$F$101&lt;&gt;""))</f>
        <v/>
      </c>
      <c r="C42" s="13">
        <f>SUMPRODUCT(((Base_Dados!$D$2:$D$101=A42)+($B$6="Todos")&gt;0)*((Base_Dados!$L$2:$L$101=$D$6)+($D$6="Todos")&gt;0)*N(Base_Dados!$F$2:$F$101))</f>
        <v/>
      </c>
      <c r="P42" t="inlineStr">
        <is>
          <t>Taycan Turbo S</t>
        </is>
      </c>
    </row>
    <row r="43">
      <c r="A43" t="inlineStr">
        <is>
          <t>Macan S</t>
        </is>
      </c>
      <c r="B43">
        <f>SUMPRODUCT(--((Base_Dados!$D$2:$D$101=A43)+($B$6="Todos")&gt;0),--((Base_Dados!$L$2:$L$101=$D$6)+($D$6="Todos")&gt;0),--(Base_Dados!$F$2:$F$101&lt;&gt;""))</f>
        <v/>
      </c>
      <c r="C43" s="13">
        <f>SUMPRODUCT(((Base_Dados!$D$2:$D$101=A43)+($B$6="Todos")&gt;0)*((Base_Dados!$L$2:$L$101=$D$6)+($D$6="Todos")&gt;0)*N(Base_Dados!$F$2:$F$101))</f>
        <v/>
      </c>
    </row>
    <row r="44">
      <c r="A44" t="inlineStr">
        <is>
          <t>Macan T</t>
        </is>
      </c>
      <c r="B44">
        <f>SUMPRODUCT(--((Base_Dados!$D$2:$D$101=A44)+($B$6="Todos")&gt;0),--((Base_Dados!$L$2:$L$101=$D$6)+($D$6="Todos")&gt;0),--(Base_Dados!$F$2:$F$101&lt;&gt;""))</f>
        <v/>
      </c>
      <c r="C44" s="13">
        <f>SUMPRODUCT(((Base_Dados!$D$2:$D$101=A44)+($B$6="Todos")&gt;0)*((Base_Dados!$L$2:$L$101=$D$6)+($D$6="Todos")&gt;0)*N(Base_Dados!$F$2:$F$101))</f>
        <v/>
      </c>
    </row>
    <row r="45">
      <c r="A45" t="inlineStr">
        <is>
          <t>Panamera</t>
        </is>
      </c>
      <c r="B45">
        <f>SUMPRODUCT(--((Base_Dados!$D$2:$D$101=A45)+($B$6="Todos")&gt;0),--((Base_Dados!$L$2:$L$101=$D$6)+($D$6="Todos")&gt;0),--(Base_Dados!$F$2:$F$101&lt;&gt;""))</f>
        <v/>
      </c>
      <c r="C45" s="13">
        <f>SUMPRODUCT(((Base_Dados!$D$2:$D$101=A45)+($B$6="Todos")&gt;0)*((Base_Dados!$L$2:$L$101=$D$6)+($D$6="Todos")&gt;0)*N(Base_Dados!$F$2:$F$101))</f>
        <v/>
      </c>
    </row>
    <row r="46">
      <c r="A46" t="inlineStr">
        <is>
          <t>Panamera 4</t>
        </is>
      </c>
      <c r="B46">
        <f>SUMPRODUCT(--((Base_Dados!$D$2:$D$101=A46)+($B$6="Todos")&gt;0),--((Base_Dados!$L$2:$L$101=$D$6)+($D$6="Todos")&gt;0),--(Base_Dados!$F$2:$F$101&lt;&gt;""))</f>
        <v/>
      </c>
      <c r="C46" s="13">
        <f>SUMPRODUCT(((Base_Dados!$D$2:$D$101=A46)+($B$6="Todos")&gt;0)*((Base_Dados!$L$2:$L$101=$D$6)+($D$6="Todos")&gt;0)*N(Base_Dados!$F$2:$F$101))</f>
        <v/>
      </c>
    </row>
    <row r="47">
      <c r="A47" t="inlineStr">
        <is>
          <t>Panamera 4 E-Hybrid</t>
        </is>
      </c>
      <c r="B47">
        <f>SUMPRODUCT(--((Base_Dados!$D$2:$D$101=A47)+($B$6="Todos")&gt;0),--((Base_Dados!$L$2:$L$101=$D$6)+($D$6="Todos")&gt;0),--(Base_Dados!$F$2:$F$101&lt;&gt;""))</f>
        <v/>
      </c>
      <c r="C47" s="13">
        <f>SUMPRODUCT(((Base_Dados!$D$2:$D$101=A47)+($B$6="Todos")&gt;0)*((Base_Dados!$L$2:$L$101=$D$6)+($D$6="Todos")&gt;0)*N(Base_Dados!$F$2:$F$101))</f>
        <v/>
      </c>
    </row>
    <row r="48">
      <c r="A48" t="inlineStr">
        <is>
          <t>Panamera 4S</t>
        </is>
      </c>
      <c r="B48">
        <f>SUMPRODUCT(--((Base_Dados!$D$2:$D$101=A48)+($B$6="Todos")&gt;0),--((Base_Dados!$L$2:$L$101=$D$6)+($D$6="Todos")&gt;0),--(Base_Dados!$F$2:$F$101&lt;&gt;""))</f>
        <v/>
      </c>
      <c r="C48" s="13">
        <f>SUMPRODUCT(((Base_Dados!$D$2:$D$101=A48)+($B$6="Todos")&gt;0)*((Base_Dados!$L$2:$L$101=$D$6)+($D$6="Todos")&gt;0)*N(Base_Dados!$F$2:$F$101))</f>
        <v/>
      </c>
    </row>
    <row r="49">
      <c r="A49" t="inlineStr">
        <is>
          <t>Panamera Turbo</t>
        </is>
      </c>
      <c r="B49">
        <f>SUMPRODUCT(--((Base_Dados!$D$2:$D$101=A49)+($B$6="Todos")&gt;0),--((Base_Dados!$L$2:$L$101=$D$6)+($D$6="Todos")&gt;0),--(Base_Dados!$F$2:$F$101&lt;&gt;""))</f>
        <v/>
      </c>
      <c r="C49" s="13">
        <f>SUMPRODUCT(((Base_Dados!$D$2:$D$101=A49)+($B$6="Todos")&gt;0)*((Base_Dados!$L$2:$L$101=$D$6)+($D$6="Todos")&gt;0)*N(Base_Dados!$F$2:$F$101))</f>
        <v/>
      </c>
    </row>
    <row r="50">
      <c r="A50" t="inlineStr">
        <is>
          <t>Panamera Turbo S</t>
        </is>
      </c>
      <c r="B50">
        <f>SUMPRODUCT(--((Base_Dados!$D$2:$D$101=A50)+($B$6="Todos")&gt;0),--((Base_Dados!$L$2:$L$101=$D$6)+($D$6="Todos")&gt;0),--(Base_Dados!$F$2:$F$101&lt;&gt;""))</f>
        <v/>
      </c>
      <c r="C50" s="13">
        <f>SUMPRODUCT(((Base_Dados!$D$2:$D$101=A50)+($B$6="Todos")&gt;0)*((Base_Dados!$L$2:$L$101=$D$6)+($D$6="Todos")&gt;0)*N(Base_Dados!$F$2:$F$101))</f>
        <v/>
      </c>
    </row>
    <row r="51">
      <c r="A51" t="inlineStr">
        <is>
          <t>Taycan</t>
        </is>
      </c>
      <c r="B51">
        <f>SUMPRODUCT(--((Base_Dados!$D$2:$D$101=A51)+($B$6="Todos")&gt;0),--((Base_Dados!$L$2:$L$101=$D$6)+($D$6="Todos")&gt;0),--(Base_Dados!$F$2:$F$101&lt;&gt;""))</f>
        <v/>
      </c>
      <c r="C51" s="13">
        <f>SUMPRODUCT(((Base_Dados!$D$2:$D$101=A51)+($B$6="Todos")&gt;0)*((Base_Dados!$L$2:$L$101=$D$6)+($D$6="Todos")&gt;0)*N(Base_Dados!$F$2:$F$101))</f>
        <v/>
      </c>
    </row>
    <row r="52">
      <c r="A52" t="inlineStr">
        <is>
          <t>Taycan 4S</t>
        </is>
      </c>
      <c r="B52">
        <f>SUMPRODUCT(--((Base_Dados!$D$2:$D$101=A52)+($B$6="Todos")&gt;0),--((Base_Dados!$L$2:$L$101=$D$6)+($D$6="Todos")&gt;0),--(Base_Dados!$F$2:$F$101&lt;&gt;""))</f>
        <v/>
      </c>
      <c r="C52" s="13">
        <f>SUMPRODUCT(((Base_Dados!$D$2:$D$101=A52)+($B$6="Todos")&gt;0)*((Base_Dados!$L$2:$L$101=$D$6)+($D$6="Todos")&gt;0)*N(Base_Dados!$F$2:$F$101))</f>
        <v/>
      </c>
    </row>
    <row r="53">
      <c r="A53" t="inlineStr">
        <is>
          <t>Taycan Cross Turismo</t>
        </is>
      </c>
      <c r="B53">
        <f>SUMPRODUCT(--((Base_Dados!$D$2:$D$101=A53)+($B$6="Todos")&gt;0),--((Base_Dados!$L$2:$L$101=$D$6)+($D$6="Todos")&gt;0),--(Base_Dados!$F$2:$F$101&lt;&gt;""))</f>
        <v/>
      </c>
      <c r="C53" s="13">
        <f>SUMPRODUCT(((Base_Dados!$D$2:$D$101=A53)+($B$6="Todos")&gt;0)*((Base_Dados!$L$2:$L$101=$D$6)+($D$6="Todos")&gt;0)*N(Base_Dados!$F$2:$F$101))</f>
        <v/>
      </c>
    </row>
    <row r="54">
      <c r="A54" t="inlineStr">
        <is>
          <t>Taycan GTS</t>
        </is>
      </c>
      <c r="B54">
        <f>SUMPRODUCT(--((Base_Dados!$D$2:$D$101=A54)+($B$6="Todos")&gt;0),--((Base_Dados!$L$2:$L$101=$D$6)+($D$6="Todos")&gt;0),--(Base_Dados!$F$2:$F$101&lt;&gt;""))</f>
        <v/>
      </c>
      <c r="C54" s="13">
        <f>SUMPRODUCT(((Base_Dados!$D$2:$D$101=A54)+($B$6="Todos")&gt;0)*((Base_Dados!$L$2:$L$101=$D$6)+($D$6="Todos")&gt;0)*N(Base_Dados!$F$2:$F$101))</f>
        <v/>
      </c>
    </row>
    <row r="55">
      <c r="A55" t="inlineStr">
        <is>
          <t>Taycan Turbo</t>
        </is>
      </c>
      <c r="B55">
        <f>SUMPRODUCT(--((Base_Dados!$D$2:$D$101=A55)+($B$6="Todos")&gt;0),--((Base_Dados!$L$2:$L$101=$D$6)+($D$6="Todos")&gt;0),--(Base_Dados!$F$2:$F$101&lt;&gt;""))</f>
        <v/>
      </c>
      <c r="C55" s="13">
        <f>SUMPRODUCT(((Base_Dados!$D$2:$D$101=A55)+($B$6="Todos")&gt;0)*((Base_Dados!$L$2:$L$101=$D$6)+($D$6="Todos")&gt;0)*N(Base_Dados!$F$2:$F$101))</f>
        <v/>
      </c>
    </row>
    <row r="56">
      <c r="A56" t="inlineStr">
        <is>
          <t>Taycan Turbo S</t>
        </is>
      </c>
      <c r="B56">
        <f>SUMPRODUCT(--((Base_Dados!$D$2:$D$101=A56)+($B$6="Todos")&gt;0),--((Base_Dados!$L$2:$L$101=$D$6)+($D$6="Todos")&gt;0),--(Base_Dados!$F$2:$F$101&lt;&gt;""))</f>
        <v/>
      </c>
      <c r="C56" s="13">
        <f>SUMPRODUCT(((Base_Dados!$D$2:$D$101=A56)+($B$6="Todos")&gt;0)*((Base_Dados!$L$2:$L$101=$D$6)+($D$6="Todos")&gt;0)*N(Base_Dados!$F$2:$F$101))</f>
        <v/>
      </c>
    </row>
    <row r="75">
      <c r="A75" s="12" t="inlineStr">
        <is>
          <t>ATENÇÃO À QUALIDADE DOS DADOS</t>
        </is>
      </c>
    </row>
    <row r="76">
      <c r="A76" s="14" t="inlineStr">
        <is>
          <t>A base contém datas marcadas como INVALID. O dashboard não inventa essas datas: elas ficam fora das análises temporais e são mantidas na Base_Dados para rastreabilidade.</t>
        </is>
      </c>
    </row>
    <row r="77"/>
  </sheetData>
  <mergeCells count="17">
    <mergeCell ref="D8:E8"/>
    <mergeCell ref="A1:N2"/>
    <mergeCell ref="A5:D5"/>
    <mergeCell ref="A3:N3"/>
    <mergeCell ref="G8:H8"/>
    <mergeCell ref="G9:H9"/>
    <mergeCell ref="J13:K13"/>
    <mergeCell ref="D13:E13"/>
    <mergeCell ref="J8:K8"/>
    <mergeCell ref="A13:B13"/>
    <mergeCell ref="A11:N11"/>
    <mergeCell ref="A76:N77"/>
    <mergeCell ref="G13:H13"/>
    <mergeCell ref="A9:B9"/>
    <mergeCell ref="D9:E9"/>
    <mergeCell ref="A8:B8"/>
    <mergeCell ref="J9:K9"/>
  </mergeCells>
  <conditionalFormatting sqref="B17:B56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dataValidations count="2">
    <dataValidation sqref="B6" showDropDown="0" showInputMessage="0" showErrorMessage="0" allowBlank="0" type="list">
      <formula1>=$P$2:$P$42</formula1>
    </dataValidation>
    <dataValidation sqref="D6" showDropDown="0" showInputMessage="0" showErrorMessage="0" allowBlank="0" type="list">
      <formula1>=$Q$2:$Q$12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24" customWidth="1" min="4" max="4"/>
    <col width="15" customWidth="1" min="5" max="5"/>
    <col width="16" customWidth="1" min="6" max="6"/>
    <col width="20" customWidth="1" min="7" max="7"/>
    <col width="18" customWidth="1" min="8" max="8"/>
    <col width="18" customWidth="1" min="9" max="9"/>
    <col width="10" customWidth="1" min="10" max="10"/>
    <col width="20" customWidth="1" min="11" max="11"/>
    <col width="22" customWidth="1" min="12" max="12"/>
    <col width="14" customWidth="1" min="13" max="13"/>
    <col width="10" customWidth="1" min="14" max="14"/>
    <col width="10" customWidth="1" min="15" max="15"/>
    <col width="14" customWidth="1" min="16" max="16"/>
    <col width="22" customWidth="1" min="17" max="17"/>
  </cols>
  <sheetData>
    <row r="1">
      <c r="A1" s="15" t="inlineStr">
        <is>
          <t>sale_id</t>
        </is>
      </c>
      <c r="B1" s="15" t="inlineStr">
        <is>
          <t>SaleDateSanitized</t>
        </is>
      </c>
      <c r="C1" s="15" t="inlineStr">
        <is>
          <t>customer_name</t>
        </is>
      </c>
      <c r="D1" s="15" t="inlineStr">
        <is>
          <t>PorscheModelSanitized</t>
        </is>
      </c>
      <c r="E1" s="15" t="inlineStr">
        <is>
          <t>ModelYearSanitized</t>
        </is>
      </c>
      <c r="F1" s="15" t="inlineStr">
        <is>
          <t>SalesPriceSanitized</t>
        </is>
      </c>
      <c r="G1" s="15" t="inlineStr">
        <is>
          <t>VehicleMileageSanitized</t>
        </is>
      </c>
      <c r="H1" s="15" t="inlineStr">
        <is>
          <t>PayMethodSanitized</t>
        </is>
      </c>
      <c r="I1" s="15" t="inlineStr">
        <is>
          <t>CitySanitized</t>
        </is>
      </c>
      <c r="J1" s="15" t="inlineStr">
        <is>
          <t>StateSanitized</t>
        </is>
      </c>
      <c r="K1" s="15" t="inlineStr">
        <is>
          <t>salesperson</t>
        </is>
      </c>
      <c r="L1" s="15" t="inlineStr">
        <is>
          <t>DeliveryStatusSanitized</t>
        </is>
      </c>
      <c r="M1" s="15" t="inlineStr">
        <is>
          <t>Data_Valida</t>
        </is>
      </c>
      <c r="N1" s="15" t="inlineStr">
        <is>
          <t>Ano</t>
        </is>
      </c>
      <c r="O1" s="15" t="inlineStr">
        <is>
          <t>Mes</t>
        </is>
      </c>
      <c r="P1" s="15" t="inlineStr">
        <is>
          <t>Mes_Ano</t>
        </is>
      </c>
      <c r="Q1" s="15" t="inlineStr">
        <is>
          <t>Faixa_Preco</t>
        </is>
      </c>
    </row>
    <row r="2">
      <c r="A2" t="n">
        <v>6</v>
      </c>
      <c r="B2" t="inlineStr">
        <is>
          <t>INVALID</t>
        </is>
      </c>
      <c r="C2" t="inlineStr">
        <is>
          <t>Michael Adams</t>
        </is>
      </c>
      <c r="D2" t="inlineStr">
        <is>
          <t>718 Cayman</t>
        </is>
      </c>
      <c r="E2" t="n">
        <v>2022</v>
      </c>
      <c r="F2" s="13" t="n">
        <v>79500</v>
      </c>
      <c r="G2" s="16" t="n">
        <v>9800</v>
      </c>
      <c r="H2" t="inlineStr">
        <is>
          <t>Credit Card</t>
        </is>
      </c>
      <c r="I2" t="inlineStr">
        <is>
          <t>Boston</t>
        </is>
      </c>
      <c r="J2" t="inlineStr">
        <is>
          <t>MA</t>
        </is>
      </c>
      <c r="K2" t="inlineStr">
        <is>
          <t>kevin</t>
        </is>
      </c>
      <c r="L2" t="inlineStr">
        <is>
          <t>Delivered</t>
        </is>
      </c>
      <c r="M2" s="17">
        <f>IFERROR(DATEVALUE(B2),"")</f>
        <v/>
      </c>
      <c r="N2">
        <f>IF(M2="","",YEAR(M2))</f>
        <v/>
      </c>
      <c r="O2">
        <f>IF(M2="","",TEXT(M2,"mmm"))</f>
        <v/>
      </c>
      <c r="P2">
        <f>IF(M2="","",TEXT(M2,"mmm/yyyy"))</f>
        <v/>
      </c>
      <c r="Q2">
        <f>IF(F2="","",IF(F2&lt;75000,"Até US$ 75 mil",IF(F2&lt;100000,"US$ 75–100 mil",IF(F2&lt;150000,"US$ 100–150 mil","Acima de US$ 150 mil"))))</f>
        <v/>
      </c>
    </row>
    <row r="3">
      <c r="A3" t="n">
        <v>7</v>
      </c>
      <c r="B3" t="inlineStr">
        <is>
          <t>2024-03-14</t>
        </is>
      </c>
      <c r="C3" t="inlineStr">
        <is>
          <t>SOPHIA Miller</t>
        </is>
      </c>
      <c r="D3" t="inlineStr">
        <is>
          <t>911 Turbo S</t>
        </is>
      </c>
      <c r="E3" t="n">
        <v>2024</v>
      </c>
      <c r="F3" s="13" t="n">
        <v>235000</v>
      </c>
      <c r="G3" s="16" t="n">
        <v>1200</v>
      </c>
      <c r="H3" t="inlineStr">
        <is>
          <t>Wire Transfer</t>
        </is>
      </c>
      <c r="I3" t="inlineStr">
        <is>
          <t>Seattle</t>
        </is>
      </c>
      <c r="J3" t="inlineStr">
        <is>
          <t>WA</t>
        </is>
      </c>
      <c r="K3" t="inlineStr">
        <is>
          <t>AMANDA scott</t>
        </is>
      </c>
      <c r="L3" t="inlineStr">
        <is>
          <t>Delivered</t>
        </is>
      </c>
      <c r="M3" s="17">
        <f>IFERROR(DATEVALUE(B3),"")</f>
        <v/>
      </c>
      <c r="N3">
        <f>IF(M3="","",YEAR(M3))</f>
        <v/>
      </c>
      <c r="O3">
        <f>IF(M3="","",TEXT(M3,"mmm"))</f>
        <v/>
      </c>
      <c r="P3">
        <f>IF(M3="","",TEXT(M3,"mmm/yyyy"))</f>
        <v/>
      </c>
      <c r="Q3">
        <f>IF(F3="","",IF(F3&lt;75000,"Até US$ 75 mil",IF(F3&lt;100000,"US$ 75–100 mil",IF(F3&lt;150000,"US$ 100–150 mil","Acima de US$ 150 mil"))))</f>
        <v/>
      </c>
    </row>
    <row r="4">
      <c r="A4" t="n">
        <v>8</v>
      </c>
      <c r="B4" t="inlineStr">
        <is>
          <t>2024-04-18</t>
        </is>
      </c>
      <c r="C4" t="inlineStr">
        <is>
          <t>Daniel-Jones</t>
        </is>
      </c>
      <c r="D4" t="inlineStr">
        <is>
          <t>Cayenne Coupe</t>
        </is>
      </c>
      <c r="E4" t="n">
        <v>2023</v>
      </c>
      <c r="F4" s="13" t="n">
        <v>112750</v>
      </c>
      <c r="G4" s="16" t="n">
        <v>6400</v>
      </c>
      <c r="H4" t="inlineStr">
        <is>
          <t>Financing</t>
        </is>
      </c>
      <c r="I4" t="inlineStr">
        <is>
          <t>Austin</t>
        </is>
      </c>
      <c r="J4" t="inlineStr">
        <is>
          <t>TX</t>
        </is>
      </c>
      <c r="K4" t="inlineStr">
        <is>
          <t>Brian Hall</t>
        </is>
      </c>
      <c r="L4" t="inlineStr">
        <is>
          <t>In Transit</t>
        </is>
      </c>
      <c r="M4" s="17">
        <f>IFERROR(DATEVALUE(B4),"")</f>
        <v/>
      </c>
      <c r="N4">
        <f>IF(M4="","",YEAR(M4))</f>
        <v/>
      </c>
      <c r="O4">
        <f>IF(M4="","",TEXT(M4,"mmm"))</f>
        <v/>
      </c>
      <c r="P4">
        <f>IF(M4="","",TEXT(M4,"mmm/yyyy"))</f>
        <v/>
      </c>
      <c r="Q4">
        <f>IF(F4="","",IF(F4&lt;75000,"Até US$ 75 mil",IF(F4&lt;100000,"US$ 75–100 mil",IF(F4&lt;150000,"US$ 100–150 mil","Acima de US$ 150 mil"))))</f>
        <v/>
      </c>
    </row>
    <row r="5">
      <c r="A5" t="n">
        <v>9</v>
      </c>
      <c r="B5" t="inlineStr">
        <is>
          <t>INVALID</t>
        </is>
      </c>
      <c r="C5" t="inlineStr">
        <is>
          <t>Olivia Brown</t>
        </is>
      </c>
      <c r="D5" t="inlineStr">
        <is>
          <t>Macan S</t>
        </is>
      </c>
      <c r="E5" t="n">
        <v>2021</v>
      </c>
      <c r="F5" s="13" t="n">
        <v>68900</v>
      </c>
      <c r="G5" s="16" t="n">
        <v>28</v>
      </c>
      <c r="H5" t="inlineStr">
        <is>
          <t>Cash</t>
        </is>
      </c>
      <c r="I5" t="inlineStr">
        <is>
          <t>Denver</t>
        </is>
      </c>
      <c r="J5" t="inlineStr">
        <is>
          <t>CO</t>
        </is>
      </c>
      <c r="K5" t="inlineStr">
        <is>
          <t>jessica</t>
        </is>
      </c>
      <c r="L5" t="inlineStr">
        <is>
          <t>Pending</t>
        </is>
      </c>
      <c r="M5" s="17">
        <f>IFERROR(DATEVALUE(B5),"")</f>
        <v/>
      </c>
      <c r="N5">
        <f>IF(M5="","",YEAR(M5))</f>
        <v/>
      </c>
      <c r="O5">
        <f>IF(M5="","",TEXT(M5,"mmm"))</f>
        <v/>
      </c>
      <c r="P5">
        <f>IF(M5="","",TEXT(M5,"mmm/yyyy"))</f>
        <v/>
      </c>
      <c r="Q5">
        <f>IF(F5="","",IF(F5&lt;75000,"Até US$ 75 mil",IF(F5&lt;100000,"US$ 75–100 mil",IF(F5&lt;150000,"US$ 100–150 mil","Acima de US$ 150 mil"))))</f>
        <v/>
      </c>
    </row>
    <row r="6">
      <c r="A6" t="n">
        <v>10</v>
      </c>
      <c r="B6" t="inlineStr">
        <is>
          <t>2024-05-22</t>
        </is>
      </c>
      <c r="C6" t="inlineStr">
        <is>
          <t>Ethan Wilson</t>
        </is>
      </c>
      <c r="D6" t="inlineStr">
        <is>
          <t>Taycan 4S</t>
        </is>
      </c>
      <c r="E6" t="n">
        <v>2024</v>
      </c>
      <c r="F6" s="13" t="n">
        <v>121000</v>
      </c>
      <c r="G6" s="16" t="n">
        <v>0</v>
      </c>
      <c r="H6" t="inlineStr">
        <is>
          <t>Bank Transfer</t>
        </is>
      </c>
      <c r="I6" t="inlineStr">
        <is>
          <t>Los Angeles</t>
        </is>
      </c>
      <c r="J6" t="inlineStr">
        <is>
          <t>CA</t>
        </is>
      </c>
      <c r="K6" t="inlineStr">
        <is>
          <t>Thomas King</t>
        </is>
      </c>
      <c r="L6" t="inlineStr">
        <is>
          <t>Delivered</t>
        </is>
      </c>
      <c r="M6" s="17">
        <f>IFERROR(DATEVALUE(B6),"")</f>
        <v/>
      </c>
      <c r="N6">
        <f>IF(M6="","",YEAR(M6))</f>
        <v/>
      </c>
      <c r="O6">
        <f>IF(M6="","",TEXT(M6,"mmm"))</f>
        <v/>
      </c>
      <c r="P6">
        <f>IF(M6="","",TEXT(M6,"mmm/yyyy"))</f>
        <v/>
      </c>
      <c r="Q6">
        <f>IF(F6="","",IF(F6&lt;75000,"Até US$ 75 mil",IF(F6&lt;100000,"US$ 75–100 mil",IF(F6&lt;150000,"US$ 100–150 mil","Acima de US$ 150 mil"))))</f>
        <v/>
      </c>
    </row>
    <row r="7">
      <c r="A7" t="n">
        <v>11</v>
      </c>
      <c r="B7" t="inlineStr">
        <is>
          <t>2024-08-06</t>
        </is>
      </c>
      <c r="C7" t="inlineStr">
        <is>
          <t>Ava Martinez</t>
        </is>
      </c>
      <c r="D7" t="inlineStr">
        <is>
          <t>Panamera 4</t>
        </is>
      </c>
      <c r="E7" t="n">
        <v>2023</v>
      </c>
      <c r="F7" s="13" t="n">
        <v>104500</v>
      </c>
      <c r="G7" s="16" t="n">
        <v>14500</v>
      </c>
      <c r="H7" t="inlineStr">
        <is>
          <t>Credit Card</t>
        </is>
      </c>
      <c r="I7" t="inlineStr">
        <is>
          <t>Miami</t>
        </is>
      </c>
      <c r="J7" t="inlineStr">
        <is>
          <t>FL</t>
        </is>
      </c>
      <c r="K7" t="inlineStr">
        <is>
          <t>LISA ray</t>
        </is>
      </c>
      <c r="L7" t="inlineStr">
        <is>
          <t>Cancelled</t>
        </is>
      </c>
      <c r="M7" s="17">
        <f>IFERROR(DATEVALUE(B7),"")</f>
        <v/>
      </c>
      <c r="N7">
        <f>IF(M7="","",YEAR(M7))</f>
        <v/>
      </c>
      <c r="O7">
        <f>IF(M7="","",TEXT(M7,"mmm"))</f>
        <v/>
      </c>
      <c r="P7">
        <f>IF(M7="","",TEXT(M7,"mmm/yyyy"))</f>
        <v/>
      </c>
      <c r="Q7">
        <f>IF(F7="","",IF(F7&lt;75000,"Até US$ 75 mil",IF(F7&lt;100000,"US$ 75–100 mil",IF(F7&lt;150000,"US$ 100–150 mil","Acima de US$ 150 mil"))))</f>
        <v/>
      </c>
    </row>
    <row r="8">
      <c r="A8" t="n">
        <v>12</v>
      </c>
      <c r="B8" t="inlineStr">
        <is>
          <t>2024-07-11</t>
        </is>
      </c>
      <c r="C8" t="inlineStr">
        <is>
          <t>Noah Davis</t>
        </is>
      </c>
      <c r="D8" t="inlineStr">
        <is>
          <t>911 Carrera S</t>
        </is>
      </c>
      <c r="E8" t="n">
        <v>2020</v>
      </c>
      <c r="F8" s="13" t="n">
        <v>96300</v>
      </c>
      <c r="G8" s="16" t="n">
        <v>41000</v>
      </c>
      <c r="H8" t="inlineStr">
        <is>
          <t>Lease</t>
        </is>
      </c>
      <c r="I8" t="inlineStr">
        <is>
          <t>New York</t>
        </is>
      </c>
      <c r="J8" t="inlineStr">
        <is>
          <t>NY</t>
        </is>
      </c>
      <c r="K8" t="inlineStr">
        <is>
          <t>Mark Evans</t>
        </is>
      </c>
      <c r="L8" t="inlineStr">
        <is>
          <t>Delivered</t>
        </is>
      </c>
      <c r="M8" s="17">
        <f>IFERROR(DATEVALUE(B8),"")</f>
        <v/>
      </c>
      <c r="N8">
        <f>IF(M8="","",YEAR(M8))</f>
        <v/>
      </c>
      <c r="O8">
        <f>IF(M8="","",TEXT(M8,"mmm"))</f>
        <v/>
      </c>
      <c r="P8">
        <f>IF(M8="","",TEXT(M8,"mmm/yyyy"))</f>
        <v/>
      </c>
      <c r="Q8">
        <f>IF(F8="","",IF(F8&lt;75000,"Até US$ 75 mil",IF(F8&lt;100000,"US$ 75–100 mil",IF(F8&lt;150000,"US$ 100–150 mil","Acima de US$ 150 mil"))))</f>
        <v/>
      </c>
    </row>
    <row r="9">
      <c r="A9" t="n">
        <v>13</v>
      </c>
      <c r="B9" t="inlineStr">
        <is>
          <t>INVALID</t>
        </is>
      </c>
      <c r="C9" t="inlineStr">
        <is>
          <t>Isabella Garcia</t>
        </is>
      </c>
      <c r="D9" t="inlineStr">
        <is>
          <t>Cayenne E-Hybrid</t>
        </is>
      </c>
      <c r="E9" t="n">
        <v>2022</v>
      </c>
      <c r="F9" s="13" t="n">
        <v>89750</v>
      </c>
      <c r="G9" s="16" t="n">
        <v>11744</v>
      </c>
      <c r="H9" t="inlineStr">
        <is>
          <t>Wire Transfer</t>
        </is>
      </c>
      <c r="I9" t="inlineStr">
        <is>
          <t>San Diego</t>
        </is>
      </c>
      <c r="J9" t="inlineStr">
        <is>
          <t>CA</t>
        </is>
      </c>
      <c r="K9" t="inlineStr">
        <is>
          <t>nancy reed</t>
        </is>
      </c>
      <c r="L9" t="inlineStr">
        <is>
          <t>Pending Approval</t>
        </is>
      </c>
      <c r="M9" s="17">
        <f>IFERROR(DATEVALUE(B9),"")</f>
        <v/>
      </c>
      <c r="N9">
        <f>IF(M9="","",YEAR(M9))</f>
        <v/>
      </c>
      <c r="O9">
        <f>IF(M9="","",TEXT(M9,"mmm"))</f>
        <v/>
      </c>
      <c r="P9">
        <f>IF(M9="","",TEXT(M9,"mmm/yyyy"))</f>
        <v/>
      </c>
      <c r="Q9">
        <f>IF(F9="","",IF(F9&lt;75000,"Até US$ 75 mil",IF(F9&lt;100000,"US$ 75–100 mil",IF(F9&lt;150000,"US$ 100–150 mil","Acima de US$ 150 mil"))))</f>
        <v/>
      </c>
    </row>
    <row r="10">
      <c r="A10" t="n">
        <v>14</v>
      </c>
      <c r="B10" t="inlineStr">
        <is>
          <t>2024-08-19</t>
        </is>
      </c>
      <c r="C10" t="inlineStr">
        <is>
          <t>Liam Rodriguez</t>
        </is>
      </c>
      <c r="D10" t="inlineStr">
        <is>
          <t>718 Boxster</t>
        </is>
      </c>
      <c r="E10" t="n">
        <v>2021</v>
      </c>
      <c r="F10" s="13" t="n">
        <v>73500</v>
      </c>
      <c r="G10" s="16" t="n">
        <v>22300</v>
      </c>
      <c r="H10" t="inlineStr">
        <is>
          <t>Debit Card</t>
        </is>
      </c>
      <c r="I10" t="inlineStr">
        <is>
          <t>Chicago</t>
        </is>
      </c>
      <c r="J10" t="inlineStr">
        <is>
          <t>IL</t>
        </is>
      </c>
      <c r="K10" t="inlineStr">
        <is>
          <t>George Bell</t>
        </is>
      </c>
      <c r="L10" t="inlineStr">
        <is>
          <t>Shipped</t>
        </is>
      </c>
      <c r="M10" s="17">
        <f>IFERROR(DATEVALUE(B10),"")</f>
        <v/>
      </c>
      <c r="N10">
        <f>IF(M10="","",YEAR(M10))</f>
        <v/>
      </c>
      <c r="O10">
        <f>IF(M10="","",TEXT(M10,"mmm"))</f>
        <v/>
      </c>
      <c r="P10">
        <f>IF(M10="","",TEXT(M10,"mmm/yyyy"))</f>
        <v/>
      </c>
      <c r="Q10">
        <f>IF(F10="","",IF(F10&lt;75000,"Até US$ 75 mil",IF(F10&lt;100000,"US$ 75–100 mil",IF(F10&lt;150000,"US$ 100–150 mil","Acima de US$ 150 mil"))))</f>
        <v/>
      </c>
    </row>
    <row r="11">
      <c r="A11" t="n">
        <v>15</v>
      </c>
      <c r="B11" t="inlineStr">
        <is>
          <t>2024-09-02</t>
        </is>
      </c>
      <c r="C11" t="inlineStr">
        <is>
          <t>Mia Hernandez</t>
        </is>
      </c>
      <c r="D11" t="inlineStr">
        <is>
          <t>Macan GTS</t>
        </is>
      </c>
      <c r="E11" t="n">
        <v>2024</v>
      </c>
      <c r="F11" s="13" t="n">
        <v>95000</v>
      </c>
      <c r="G11" s="16" t="n">
        <v>3500</v>
      </c>
      <c r="H11" t="inlineStr">
        <is>
          <t>Financing</t>
        </is>
      </c>
      <c r="I11" t="inlineStr">
        <is>
          <t>Phoenix</t>
        </is>
      </c>
      <c r="J11" t="inlineStr">
        <is>
          <t>AZ</t>
        </is>
      </c>
      <c r="K11" t="inlineStr">
        <is>
          <t>Helen Brooks</t>
        </is>
      </c>
      <c r="L11" t="inlineStr">
        <is>
          <t>In Transit</t>
        </is>
      </c>
      <c r="M11" s="17">
        <f>IFERROR(DATEVALUE(B11),"")</f>
        <v/>
      </c>
      <c r="N11">
        <f>IF(M11="","",YEAR(M11))</f>
        <v/>
      </c>
      <c r="O11">
        <f>IF(M11="","",TEXT(M11,"mmm"))</f>
        <v/>
      </c>
      <c r="P11">
        <f>IF(M11="","",TEXT(M11,"mmm/yyyy"))</f>
        <v/>
      </c>
      <c r="Q11">
        <f>IF(F11="","",IF(F11&lt;75000,"Até US$ 75 mil",IF(F11&lt;100000,"US$ 75–100 mil",IF(F11&lt;150000,"US$ 100–150 mil","Acima de US$ 150 mil"))))</f>
        <v/>
      </c>
    </row>
    <row r="12">
      <c r="A12" t="n">
        <v>16</v>
      </c>
      <c r="B12" t="inlineStr">
        <is>
          <t>2024-09-17</t>
        </is>
      </c>
      <c r="C12" t="inlineStr">
        <is>
          <t>James Lopez</t>
        </is>
      </c>
      <c r="D12" t="inlineStr">
        <is>
          <t>Taycan Turbo</t>
        </is>
      </c>
      <c r="E12" t="n">
        <v>2023</v>
      </c>
      <c r="F12" s="13" t="n">
        <v>153200.5</v>
      </c>
      <c r="G12" s="16" t="n">
        <v>11</v>
      </c>
      <c r="H12" t="inlineStr">
        <is>
          <t>ACH Payment</t>
        </is>
      </c>
      <c r="I12" t="inlineStr">
        <is>
          <t>Dallas</t>
        </is>
      </c>
      <c r="J12" t="inlineStr">
        <is>
          <t>TX</t>
        </is>
      </c>
      <c r="K12" t="inlineStr">
        <is>
          <t>samuel price</t>
        </is>
      </c>
      <c r="L12" t="inlineStr">
        <is>
          <t>Delivered</t>
        </is>
      </c>
      <c r="M12" s="17">
        <f>IFERROR(DATEVALUE(B12),"")</f>
        <v/>
      </c>
      <c r="N12">
        <f>IF(M12="","",YEAR(M12))</f>
        <v/>
      </c>
      <c r="O12">
        <f>IF(M12="","",TEXT(M12,"mmm"))</f>
        <v/>
      </c>
      <c r="P12">
        <f>IF(M12="","",TEXT(M12,"mmm/yyyy"))</f>
        <v/>
      </c>
      <c r="Q12">
        <f>IF(F12="","",IF(F12&lt;75000,"Até US$ 75 mil",IF(F12&lt;100000,"US$ 75–100 mil",IF(F12&lt;150000,"US$ 100–150 mil","Acima de US$ 150 mil"))))</f>
        <v/>
      </c>
    </row>
    <row r="13">
      <c r="A13" t="n">
        <v>17</v>
      </c>
      <c r="B13" t="inlineStr">
        <is>
          <t>INVALID</t>
        </is>
      </c>
      <c r="C13" t="inlineStr">
        <is>
          <t>Charlotte Young</t>
        </is>
      </c>
      <c r="D13" t="inlineStr">
        <is>
          <t>911 GT3</t>
        </is>
      </c>
      <c r="E13" t="n">
        <v>2024</v>
      </c>
      <c r="F13" s="13" t="n">
        <v>241000</v>
      </c>
      <c r="G13" s="16" t="n">
        <v>750</v>
      </c>
      <c r="H13" t="inlineStr">
        <is>
          <t>Wire Transfer</t>
        </is>
      </c>
      <c r="I13" t="inlineStr">
        <is>
          <t>Las Vegas</t>
        </is>
      </c>
      <c r="J13" t="inlineStr">
        <is>
          <t>NV</t>
        </is>
      </c>
      <c r="K13" t="inlineStr">
        <is>
          <t>PETER Ford</t>
        </is>
      </c>
      <c r="L13" t="inlineStr">
        <is>
          <t>Pending</t>
        </is>
      </c>
      <c r="M13" s="17">
        <f>IFERROR(DATEVALUE(B13),"")</f>
        <v/>
      </c>
      <c r="N13">
        <f>IF(M13="","",YEAR(M13))</f>
        <v/>
      </c>
      <c r="O13">
        <f>IF(M13="","",TEXT(M13,"mmm"))</f>
        <v/>
      </c>
      <c r="P13">
        <f>IF(M13="","",TEXT(M13,"mmm/yyyy"))</f>
        <v/>
      </c>
      <c r="Q13">
        <f>IF(F13="","",IF(F13&lt;75000,"Até US$ 75 mil",IF(F13&lt;100000,"US$ 75–100 mil",IF(F13&lt;150000,"US$ 100–150 mil","Acima de US$ 150 mil"))))</f>
        <v/>
      </c>
    </row>
    <row r="14">
      <c r="A14" t="n">
        <v>18</v>
      </c>
      <c r="B14" t="inlineStr">
        <is>
          <t>2024-05-11</t>
        </is>
      </c>
      <c r="C14" t="inlineStr">
        <is>
          <t>Benjamin Allen</t>
        </is>
      </c>
      <c r="D14" t="inlineStr">
        <is>
          <t>Panamera Turbo S</t>
        </is>
      </c>
      <c r="E14" t="n">
        <v>2022</v>
      </c>
      <c r="F14" s="13" t="n">
        <v>132000</v>
      </c>
      <c r="G14" s="16" t="n">
        <v>19250</v>
      </c>
      <c r="H14" t="inlineStr">
        <is>
          <t>Cash</t>
        </is>
      </c>
      <c r="I14" t="inlineStr">
        <is>
          <t>San Jose</t>
        </is>
      </c>
      <c r="J14" t="inlineStr">
        <is>
          <t>CA</t>
        </is>
      </c>
      <c r="K14" t="inlineStr">
        <is>
          <t>Angela Green</t>
        </is>
      </c>
      <c r="L14" t="inlineStr">
        <is>
          <t>Delivered</t>
        </is>
      </c>
      <c r="M14" s="17">
        <f>IFERROR(DATEVALUE(B14),"")</f>
        <v/>
      </c>
      <c r="N14">
        <f>IF(M14="","",YEAR(M14))</f>
        <v/>
      </c>
      <c r="O14">
        <f>IF(M14="","",TEXT(M14,"mmm"))</f>
        <v/>
      </c>
      <c r="P14">
        <f>IF(M14="","",TEXT(M14,"mmm/yyyy"))</f>
        <v/>
      </c>
      <c r="Q14">
        <f>IF(F14="","",IF(F14&lt;75000,"Até US$ 75 mil",IF(F14&lt;100000,"US$ 75–100 mil",IF(F14&lt;150000,"US$ 100–150 mil","Acima de US$ 150 mil"))))</f>
        <v/>
      </c>
    </row>
    <row r="15">
      <c r="A15" t="n">
        <v>19</v>
      </c>
      <c r="B15" t="inlineStr">
        <is>
          <t>2024-12-12</t>
        </is>
      </c>
      <c r="C15" t="inlineStr">
        <is>
          <t>Amelia King</t>
        </is>
      </c>
      <c r="D15" t="inlineStr">
        <is>
          <t>Cayenne Turbo GT</t>
        </is>
      </c>
      <c r="E15" t="n">
        <v>2024</v>
      </c>
      <c r="F15" s="13" t="n">
        <v>188000</v>
      </c>
      <c r="G15" s="16" t="n">
        <v>2100</v>
      </c>
      <c r="H15" t="inlineStr">
        <is>
          <t>Crypto Payment</t>
        </is>
      </c>
      <c r="I15" t="inlineStr">
        <is>
          <t>Houston</t>
        </is>
      </c>
      <c r="J15" t="inlineStr">
        <is>
          <t>TX</t>
        </is>
      </c>
      <c r="K15" t="inlineStr">
        <is>
          <t>Victor Stone</t>
        </is>
      </c>
      <c r="L15" t="inlineStr">
        <is>
          <t>Awaiting Delivery</t>
        </is>
      </c>
      <c r="M15" s="17">
        <f>IFERROR(DATEVALUE(B15),"")</f>
        <v/>
      </c>
      <c r="N15">
        <f>IF(M15="","",YEAR(M15))</f>
        <v/>
      </c>
      <c r="O15">
        <f>IF(M15="","",TEXT(M15,"mmm"))</f>
        <v/>
      </c>
      <c r="P15">
        <f>IF(M15="","",TEXT(M15,"mmm/yyyy"))</f>
        <v/>
      </c>
      <c r="Q15">
        <f>IF(F15="","",IF(F15&lt;75000,"Até US$ 75 mil",IF(F15&lt;100000,"US$ 75–100 mil",IF(F15&lt;150000,"US$ 100–150 mil","Acima de US$ 150 mil"))))</f>
        <v/>
      </c>
    </row>
    <row r="16">
      <c r="A16" t="n">
        <v>20</v>
      </c>
      <c r="B16" t="inlineStr">
        <is>
          <t>2024-12-25</t>
        </is>
      </c>
      <c r="C16" t="inlineStr">
        <is>
          <t>Lucas Wright</t>
        </is>
      </c>
      <c r="D16" t="inlineStr">
        <is>
          <t>911 Carrera Cabriolet</t>
        </is>
      </c>
      <c r="E16" t="n">
        <v>2023</v>
      </c>
      <c r="F16" s="13" t="n">
        <v>127800</v>
      </c>
      <c r="G16" s="16" t="n">
        <v>12000</v>
      </c>
      <c r="H16" t="inlineStr">
        <is>
          <t>Credit Card</t>
        </is>
      </c>
      <c r="I16" t="inlineStr">
        <is>
          <t>Atlanta</t>
        </is>
      </c>
      <c r="J16" t="inlineStr">
        <is>
          <t>GA</t>
        </is>
      </c>
      <c r="K16" t="inlineStr">
        <is>
          <t>rachel turner</t>
        </is>
      </c>
      <c r="L16" t="inlineStr">
        <is>
          <t>Delivered</t>
        </is>
      </c>
      <c r="M16" s="17">
        <f>IFERROR(DATEVALUE(B16),"")</f>
        <v/>
      </c>
      <c r="N16">
        <f>IF(M16="","",YEAR(M16))</f>
        <v/>
      </c>
      <c r="O16">
        <f>IF(M16="","",TEXT(M16,"mmm"))</f>
        <v/>
      </c>
      <c r="P16">
        <f>IF(M16="","",TEXT(M16,"mmm/yyyy"))</f>
        <v/>
      </c>
      <c r="Q16">
        <f>IF(F16="","",IF(F16&lt;75000,"Até US$ 75 mil",IF(F16&lt;100000,"US$ 75–100 mil",IF(F16&lt;150000,"US$ 100–150 mil","Acima de US$ 150 mil"))))</f>
        <v/>
      </c>
    </row>
    <row r="17">
      <c r="A17" t="n">
        <v>21</v>
      </c>
      <c r="B17" t="inlineStr">
        <is>
          <t>2025-01-06</t>
        </is>
      </c>
      <c r="C17" t="inlineStr">
        <is>
          <t>Harper Scott</t>
        </is>
      </c>
      <c r="D17" t="inlineStr">
        <is>
          <t>Macan</t>
        </is>
      </c>
      <c r="E17" t="n">
        <v>2021</v>
      </c>
      <c r="F17" s="13" t="n">
        <v>58900</v>
      </c>
      <c r="G17" s="16" t="n">
        <v>33700</v>
      </c>
      <c r="H17" t="inlineStr">
        <is>
          <t>Bank Transfer</t>
        </is>
      </c>
      <c r="I17" t="inlineStr">
        <is>
          <t>Orlando</t>
        </is>
      </c>
      <c r="J17" t="inlineStr">
        <is>
          <t>FL</t>
        </is>
      </c>
      <c r="K17" t="inlineStr">
        <is>
          <t>Chris Moore</t>
        </is>
      </c>
      <c r="L17" t="inlineStr">
        <is>
          <t>Pending</t>
        </is>
      </c>
      <c r="M17" s="17">
        <f>IFERROR(DATEVALUE(B17),"")</f>
        <v/>
      </c>
      <c r="N17">
        <f>IF(M17="","",YEAR(M17))</f>
        <v/>
      </c>
      <c r="O17">
        <f>IF(M17="","",TEXT(M17,"mmm"))</f>
        <v/>
      </c>
      <c r="P17">
        <f>IF(M17="","",TEXT(M17,"mmm/yyyy"))</f>
        <v/>
      </c>
      <c r="Q17">
        <f>IF(F17="","",IF(F17&lt;75000,"Até US$ 75 mil",IF(F17&lt;100000,"US$ 75–100 mil",IF(F17&lt;150000,"US$ 100–150 mil","Acima de US$ 150 mil"))))</f>
        <v/>
      </c>
    </row>
    <row r="18">
      <c r="A18" t="n">
        <v>22</v>
      </c>
      <c r="B18" t="inlineStr">
        <is>
          <t>INVALID</t>
        </is>
      </c>
      <c r="C18" t="inlineStr">
        <is>
          <t>Henry Torres</t>
        </is>
      </c>
      <c r="D18" t="inlineStr">
        <is>
          <t>718 Spyder RS</t>
        </is>
      </c>
      <c r="E18" t="n">
        <v>2024</v>
      </c>
      <c r="F18" s="13" t="n">
        <v>164000</v>
      </c>
      <c r="G18" s="16" t="n">
        <v>900</v>
      </c>
      <c r="H18" t="inlineStr">
        <is>
          <t>Financing</t>
        </is>
      </c>
      <c r="I18" t="inlineStr">
        <is>
          <t>Portland</t>
        </is>
      </c>
      <c r="J18" t="inlineStr">
        <is>
          <t>OR</t>
        </is>
      </c>
      <c r="K18" t="inlineStr">
        <is>
          <t>LAURA Hill</t>
        </is>
      </c>
      <c r="L18" t="inlineStr">
        <is>
          <t>In Transit</t>
        </is>
      </c>
      <c r="M18" s="17">
        <f>IFERROR(DATEVALUE(B18),"")</f>
        <v/>
      </c>
      <c r="N18">
        <f>IF(M18="","",YEAR(M18))</f>
        <v/>
      </c>
      <c r="O18">
        <f>IF(M18="","",TEXT(M18,"mmm"))</f>
        <v/>
      </c>
      <c r="P18">
        <f>IF(M18="","",TEXT(M18,"mmm/yyyy"))</f>
        <v/>
      </c>
      <c r="Q18">
        <f>IF(F18="","",IF(F18&lt;75000,"Até US$ 75 mil",IF(F18&lt;100000,"US$ 75–100 mil",IF(F18&lt;150000,"US$ 100–150 mil","Acima de US$ 150 mil"))))</f>
        <v/>
      </c>
    </row>
    <row r="19">
      <c r="A19" t="n">
        <v>23</v>
      </c>
      <c r="B19" t="inlineStr">
        <is>
          <t>2025-02-14</t>
        </is>
      </c>
      <c r="C19" t="inlineStr">
        <is>
          <t>Evelyn Nguyen</t>
        </is>
      </c>
      <c r="D19" t="inlineStr">
        <is>
          <t>Taycan Cross Turismo</t>
        </is>
      </c>
      <c r="E19" t="n">
        <v>2023</v>
      </c>
      <c r="F19" s="13" t="n">
        <v>118500</v>
      </c>
      <c r="G19" s="16" t="n">
        <v>7800</v>
      </c>
      <c r="H19" t="inlineStr">
        <is>
          <t>Wire Transfer</t>
        </is>
      </c>
      <c r="I19" t="inlineStr">
        <is>
          <t>Charlotte</t>
        </is>
      </c>
      <c r="J19" t="inlineStr">
        <is>
          <t>NC</t>
        </is>
      </c>
      <c r="K19" t="inlineStr">
        <is>
          <t>Martin Young</t>
        </is>
      </c>
      <c r="L19" t="inlineStr">
        <is>
          <t>Delivered</t>
        </is>
      </c>
      <c r="M19" s="17">
        <f>IFERROR(DATEVALUE(B19),"")</f>
        <v/>
      </c>
      <c r="N19">
        <f>IF(M19="","",YEAR(M19))</f>
        <v/>
      </c>
      <c r="O19">
        <f>IF(M19="","",TEXT(M19,"mmm"))</f>
        <v/>
      </c>
      <c r="P19">
        <f>IF(M19="","",TEXT(M19,"mmm/yyyy"))</f>
        <v/>
      </c>
      <c r="Q19">
        <f>IF(F19="","",IF(F19&lt;75000,"Até US$ 75 mil",IF(F19&lt;100000,"US$ 75–100 mil",IF(F19&lt;150000,"US$ 100–150 mil","Acima de US$ 150 mil"))))</f>
        <v/>
      </c>
    </row>
    <row r="20">
      <c r="A20" t="n">
        <v>24</v>
      </c>
      <c r="B20" t="inlineStr">
        <is>
          <t>INVALID</t>
        </is>
      </c>
      <c r="C20" t="inlineStr">
        <is>
          <t>Alexander Flores</t>
        </is>
      </c>
      <c r="D20" t="inlineStr">
        <is>
          <t>Cayenne S</t>
        </is>
      </c>
      <c r="E20" t="n">
        <v>2022</v>
      </c>
      <c r="F20" s="13" t="n">
        <v>91300</v>
      </c>
      <c r="G20" s="16" t="n">
        <v>16000</v>
      </c>
      <c r="H20" t="inlineStr">
        <is>
          <t>Credit Card</t>
        </is>
      </c>
      <c r="I20" t="inlineStr">
        <is>
          <t>Nashville</t>
        </is>
      </c>
      <c r="J20" t="inlineStr">
        <is>
          <t>TN</t>
        </is>
      </c>
      <c r="K20" t="inlineStr">
        <is>
          <t>Diana Cooper</t>
        </is>
      </c>
      <c r="L20" t="inlineStr">
        <is>
          <t>Pending</t>
        </is>
      </c>
      <c r="M20" s="17">
        <f>IFERROR(DATEVALUE(B20),"")</f>
        <v/>
      </c>
      <c r="N20">
        <f>IF(M20="","",YEAR(M20))</f>
        <v/>
      </c>
      <c r="O20">
        <f>IF(M20="","",TEXT(M20,"mmm"))</f>
        <v/>
      </c>
      <c r="P20">
        <f>IF(M20="","",TEXT(M20,"mmm/yyyy"))</f>
        <v/>
      </c>
      <c r="Q20">
        <f>IF(F20="","",IF(F20&lt;75000,"Até US$ 75 mil",IF(F20&lt;100000,"US$ 75–100 mil",IF(F20&lt;150000,"US$ 100–150 mil","Acima de US$ 150 mil"))))</f>
        <v/>
      </c>
    </row>
    <row r="21">
      <c r="A21" t="n">
        <v>25</v>
      </c>
      <c r="B21" t="inlineStr">
        <is>
          <t>2025-03-21</t>
        </is>
      </c>
      <c r="C21" t="inlineStr">
        <is>
          <t>Abigail Carter</t>
        </is>
      </c>
      <c r="D21" t="inlineStr">
        <is>
          <t>911 Targa 4S</t>
        </is>
      </c>
      <c r="E21" t="n">
        <v>2024</v>
      </c>
      <c r="F21" s="13" t="n">
        <v>158750</v>
      </c>
      <c r="G21" s="16" t="n">
        <v>2500</v>
      </c>
      <c r="H21" t="inlineStr">
        <is>
          <t>Lease</t>
        </is>
      </c>
      <c r="I21" t="inlineStr">
        <is>
          <t>Minneapolis</t>
        </is>
      </c>
      <c r="J21" t="inlineStr">
        <is>
          <t>MN</t>
        </is>
      </c>
      <c r="K21" t="inlineStr">
        <is>
          <t>Steve Gray</t>
        </is>
      </c>
      <c r="L21" t="inlineStr">
        <is>
          <t>Delivered</t>
        </is>
      </c>
      <c r="M21" s="17">
        <f>IFERROR(DATEVALUE(B21),"")</f>
        <v/>
      </c>
      <c r="N21">
        <f>IF(M21="","",YEAR(M21))</f>
        <v/>
      </c>
      <c r="O21">
        <f>IF(M21="","",TEXT(M21,"mmm"))</f>
        <v/>
      </c>
      <c r="P21">
        <f>IF(M21="","",TEXT(M21,"mmm/yyyy"))</f>
        <v/>
      </c>
      <c r="Q21">
        <f>IF(F21="","",IF(F21&lt;75000,"Até US$ 75 mil",IF(F21&lt;100000,"US$ 75–100 mil",IF(F21&lt;150000,"US$ 100–150 mil","Acima de US$ 150 mil"))))</f>
        <v/>
      </c>
    </row>
    <row r="22">
      <c r="A22" t="n">
        <v>26</v>
      </c>
      <c r="B22" t="inlineStr">
        <is>
          <t>2025-03-28</t>
        </is>
      </c>
      <c r="C22" t="inlineStr">
        <is>
          <t>Jack Mitchell</t>
        </is>
      </c>
      <c r="D22" t="inlineStr">
        <is>
          <t>Panamera</t>
        </is>
      </c>
      <c r="E22" t="n">
        <v>2020</v>
      </c>
      <c r="F22" s="13" t="n">
        <v>72000</v>
      </c>
      <c r="G22" s="16" t="n">
        <v>49000</v>
      </c>
      <c r="H22" t="inlineStr">
        <is>
          <t>Bank Transfer</t>
        </is>
      </c>
      <c r="I22" t="inlineStr">
        <is>
          <t>Philadelphia</t>
        </is>
      </c>
      <c r="J22" t="inlineStr">
        <is>
          <t>PA</t>
        </is>
      </c>
      <c r="K22" t="inlineStr">
        <is>
          <t>Olivia Ross</t>
        </is>
      </c>
      <c r="L22" t="inlineStr">
        <is>
          <t>Cancelled</t>
        </is>
      </c>
      <c r="M22" s="17">
        <f>IFERROR(DATEVALUE(B22),"")</f>
        <v/>
      </c>
      <c r="N22">
        <f>IF(M22="","",YEAR(M22))</f>
        <v/>
      </c>
      <c r="O22">
        <f>IF(M22="","",TEXT(M22,"mmm"))</f>
        <v/>
      </c>
      <c r="P22">
        <f>IF(M22="","",TEXT(M22,"mmm/yyyy"))</f>
        <v/>
      </c>
      <c r="Q22">
        <f>IF(F22="","",IF(F22&lt;75000,"Até US$ 75 mil",IF(F22&lt;100000,"US$ 75–100 mil",IF(F22&lt;150000,"US$ 100–150 mil","Acima de US$ 150 mil"))))</f>
        <v/>
      </c>
    </row>
    <row r="23">
      <c r="A23" t="n">
        <v>27</v>
      </c>
      <c r="B23" t="inlineStr">
        <is>
          <t>2025-04-09</t>
        </is>
      </c>
      <c r="C23" t="inlineStr">
        <is>
          <t>Emily Perez</t>
        </is>
      </c>
      <c r="D23" t="inlineStr">
        <is>
          <t>Macan Electric</t>
        </is>
      </c>
      <c r="E23" t="n">
        <v>2025</v>
      </c>
      <c r="F23" s="13" t="n">
        <v>86500</v>
      </c>
      <c r="G23" s="16" t="n">
        <v>0</v>
      </c>
      <c r="H23" t="inlineStr">
        <is>
          <t>Wire Transfer</t>
        </is>
      </c>
      <c r="I23" t="inlineStr">
        <is>
          <t>San Antonio</t>
        </is>
      </c>
      <c r="J23" t="inlineStr">
        <is>
          <t>TX</t>
        </is>
      </c>
      <c r="K23" t="inlineStr">
        <is>
          <t>Patrick Wood</t>
        </is>
      </c>
      <c r="L23" t="inlineStr">
        <is>
          <t>Delivered</t>
        </is>
      </c>
      <c r="M23" s="17">
        <f>IFERROR(DATEVALUE(B23),"")</f>
        <v/>
      </c>
      <c r="N23">
        <f>IF(M23="","",YEAR(M23))</f>
        <v/>
      </c>
      <c r="O23">
        <f>IF(M23="","",TEXT(M23,"mmm"))</f>
        <v/>
      </c>
      <c r="P23">
        <f>IF(M23="","",TEXT(M23,"mmm/yyyy"))</f>
        <v/>
      </c>
      <c r="Q23">
        <f>IF(F23="","",IF(F23&lt;75000,"Até US$ 75 mil",IF(F23&lt;100000,"US$ 75–100 mil",IF(F23&lt;150000,"US$ 100–150 mil","Acima de US$ 150 mil"))))</f>
        <v/>
      </c>
    </row>
    <row r="24">
      <c r="A24" t="n">
        <v>28</v>
      </c>
      <c r="B24" t="inlineStr">
        <is>
          <t>INVALID</t>
        </is>
      </c>
      <c r="C24" t="inlineStr">
        <is>
          <t>William Roberts</t>
        </is>
      </c>
      <c r="D24" t="inlineStr">
        <is>
          <t>911 Dakar</t>
        </is>
      </c>
      <c r="E24" t="n">
        <v>2024</v>
      </c>
      <c r="F24" s="13" t="n">
        <v>270000</v>
      </c>
      <c r="G24" s="16" t="n">
        <v>1050</v>
      </c>
      <c r="H24" t="inlineStr">
        <is>
          <t>Cash</t>
        </is>
      </c>
      <c r="I24" t="inlineStr">
        <is>
          <t>Salt Lake City</t>
        </is>
      </c>
      <c r="J24" t="inlineStr">
        <is>
          <t>UT</t>
        </is>
      </c>
      <c r="K24" t="inlineStr">
        <is>
          <t>Karen Diaz</t>
        </is>
      </c>
      <c r="L24" t="inlineStr">
        <is>
          <t>Awaiting Pickup</t>
        </is>
      </c>
      <c r="M24" s="17">
        <f>IFERROR(DATEVALUE(B24),"")</f>
        <v/>
      </c>
      <c r="N24">
        <f>IF(M24="","",YEAR(M24))</f>
        <v/>
      </c>
      <c r="O24">
        <f>IF(M24="","",TEXT(M24,"mmm"))</f>
        <v/>
      </c>
      <c r="P24">
        <f>IF(M24="","",TEXT(M24,"mmm/yyyy"))</f>
        <v/>
      </c>
      <c r="Q24">
        <f>IF(F24="","",IF(F24&lt;75000,"Até US$ 75 mil",IF(F24&lt;100000,"US$ 75–100 mil",IF(F24&lt;150000,"US$ 100–150 mil","Acima de US$ 150 mil"))))</f>
        <v/>
      </c>
    </row>
    <row r="25">
      <c r="A25" t="n">
        <v>29</v>
      </c>
      <c r="B25" t="inlineStr">
        <is>
          <t>2025-05-12</t>
        </is>
      </c>
      <c r="C25" t="inlineStr">
        <is>
          <t>Sofia Turner</t>
        </is>
      </c>
      <c r="D25" t="inlineStr">
        <is>
          <t>Taycan GTS</t>
        </is>
      </c>
      <c r="E25" t="n">
        <v>2023</v>
      </c>
      <c r="F25" s="13" t="n">
        <v>139000</v>
      </c>
      <c r="G25" s="16" t="n">
        <v>6250</v>
      </c>
      <c r="H25" t="inlineStr">
        <is>
          <t>Financing</t>
        </is>
      </c>
      <c r="I25" t="inlineStr">
        <is>
          <t>Raleigh</t>
        </is>
      </c>
      <c r="J25" t="inlineStr">
        <is>
          <t>NC</t>
        </is>
      </c>
      <c r="K25" t="inlineStr">
        <is>
          <t>Justin Cox</t>
        </is>
      </c>
      <c r="L25" t="inlineStr">
        <is>
          <t>In Transit</t>
        </is>
      </c>
      <c r="M25" s="17">
        <f>IFERROR(DATEVALUE(B25),"")</f>
        <v/>
      </c>
      <c r="N25">
        <f>IF(M25="","",YEAR(M25))</f>
        <v/>
      </c>
      <c r="O25">
        <f>IF(M25="","",TEXT(M25,"mmm"))</f>
        <v/>
      </c>
      <c r="P25">
        <f>IF(M25="","",TEXT(M25,"mmm/yyyy"))</f>
        <v/>
      </c>
      <c r="Q25">
        <f>IF(F25="","",IF(F25&lt;75000,"Até US$ 75 mil",IF(F25&lt;100000,"US$ 75–100 mil",IF(F25&lt;150000,"US$ 100–150 mil","Acima de US$ 150 mil"))))</f>
        <v/>
      </c>
    </row>
    <row r="26">
      <c r="A26" t="n">
        <v>30</v>
      </c>
      <c r="B26" t="inlineStr">
        <is>
          <t>2025-06-18</t>
        </is>
      </c>
      <c r="C26" t="inlineStr">
        <is>
          <t>Mason Phillips</t>
        </is>
      </c>
      <c r="D26" t="inlineStr">
        <is>
          <t>Cayenne</t>
        </is>
      </c>
      <c r="E26" t="n">
        <v>2021</v>
      </c>
      <c r="F26" s="13" t="n">
        <v>76800</v>
      </c>
      <c r="G26" s="16" t="n">
        <v>38400</v>
      </c>
      <c r="H26" t="inlineStr">
        <is>
          <t>Credit Card</t>
        </is>
      </c>
      <c r="I26" t="inlineStr">
        <is>
          <t>Detroit</t>
        </is>
      </c>
      <c r="J26" t="inlineStr">
        <is>
          <t>MI</t>
        </is>
      </c>
      <c r="K26" t="inlineStr">
        <is>
          <t>Betty Ward</t>
        </is>
      </c>
      <c r="L26" t="inlineStr">
        <is>
          <t>Delivered</t>
        </is>
      </c>
      <c r="M26" s="17">
        <f>IFERROR(DATEVALUE(B26),"")</f>
        <v/>
      </c>
      <c r="N26">
        <f>IF(M26="","",YEAR(M26))</f>
        <v/>
      </c>
      <c r="O26">
        <f>IF(M26="","",TEXT(M26,"mmm"))</f>
        <v/>
      </c>
      <c r="P26">
        <f>IF(M26="","",TEXT(M26,"mmm/yyyy"))</f>
        <v/>
      </c>
      <c r="Q26">
        <f>IF(F26="","",IF(F26&lt;75000,"Até US$ 75 mil",IF(F26&lt;100000,"US$ 75–100 mil",IF(F26&lt;150000,"US$ 100–150 mil","Acima de US$ 150 mil"))))</f>
        <v/>
      </c>
    </row>
    <row r="27">
      <c r="A27" t="n">
        <v>31</v>
      </c>
      <c r="B27" t="inlineStr">
        <is>
          <t>INVALID</t>
        </is>
      </c>
      <c r="C27" t="inlineStr">
        <is>
          <t>Ella Campbell</t>
        </is>
      </c>
      <c r="D27" t="inlineStr">
        <is>
          <t>718 Cayman GT4 RS</t>
        </is>
      </c>
      <c r="E27" t="n">
        <v>2024</v>
      </c>
      <c r="F27" s="13" t="n">
        <v>173600</v>
      </c>
      <c r="G27" s="16" t="n">
        <v>400</v>
      </c>
      <c r="H27" t="inlineStr">
        <is>
          <t>Wire Transfer</t>
        </is>
      </c>
      <c r="I27" t="inlineStr">
        <is>
          <t>Columbus</t>
        </is>
      </c>
      <c r="J27" t="inlineStr">
        <is>
          <t>OH</t>
        </is>
      </c>
      <c r="K27" t="inlineStr">
        <is>
          <t>Gary Reed</t>
        </is>
      </c>
      <c r="L27" t="inlineStr">
        <is>
          <t>Pending</t>
        </is>
      </c>
      <c r="M27" s="17">
        <f>IFERROR(DATEVALUE(B27),"")</f>
        <v/>
      </c>
      <c r="N27">
        <f>IF(M27="","",YEAR(M27))</f>
        <v/>
      </c>
      <c r="O27">
        <f>IF(M27="","",TEXT(M27,"mmm"))</f>
        <v/>
      </c>
      <c r="P27">
        <f>IF(M27="","",TEXT(M27,"mmm/yyyy"))</f>
        <v/>
      </c>
      <c r="Q27">
        <f>IF(F27="","",IF(F27&lt;75000,"Até US$ 75 mil",IF(F27&lt;100000,"US$ 75–100 mil",IF(F27&lt;150000,"US$ 100–150 mil","Acima de US$ 150 mil"))))</f>
        <v/>
      </c>
    </row>
    <row r="28">
      <c r="A28" t="n">
        <v>32</v>
      </c>
      <c r="B28" t="inlineStr">
        <is>
          <t>2025-07-07</t>
        </is>
      </c>
      <c r="C28" t="inlineStr">
        <is>
          <t>Logan Parker</t>
        </is>
      </c>
      <c r="D28" t="inlineStr">
        <is>
          <t>911 Carrera GTS</t>
        </is>
      </c>
      <c r="E28" t="n">
        <v>2022</v>
      </c>
      <c r="F28" s="13" t="n">
        <v>119900</v>
      </c>
      <c r="G28" s="16" t="n">
        <v>13600</v>
      </c>
      <c r="H28" t="inlineStr">
        <is>
          <t>Cash</t>
        </is>
      </c>
      <c r="I28" t="inlineStr">
        <is>
          <t>Indianapolis</t>
        </is>
      </c>
      <c r="J28" t="inlineStr">
        <is>
          <t>IN</t>
        </is>
      </c>
      <c r="K28" t="inlineStr">
        <is>
          <t>maria foster</t>
        </is>
      </c>
      <c r="L28" t="inlineStr">
        <is>
          <t>Delivered</t>
        </is>
      </c>
      <c r="M28" s="17">
        <f>IFERROR(DATEVALUE(B28),"")</f>
        <v/>
      </c>
      <c r="N28">
        <f>IF(M28="","",YEAR(M28))</f>
        <v/>
      </c>
      <c r="O28">
        <f>IF(M28="","",TEXT(M28,"mmm"))</f>
        <v/>
      </c>
      <c r="P28">
        <f>IF(M28="","",TEXT(M28,"mmm/yyyy"))</f>
        <v/>
      </c>
      <c r="Q28">
        <f>IF(F28="","",IF(F28&lt;75000,"Até US$ 75 mil",IF(F28&lt;100000,"US$ 75–100 mil",IF(F28&lt;150000,"US$ 100–150 mil","Acima de US$ 150 mil"))))</f>
        <v/>
      </c>
    </row>
    <row r="29">
      <c r="A29" t="n">
        <v>33</v>
      </c>
      <c r="B29" t="inlineStr">
        <is>
          <t>2025-07-22</t>
        </is>
      </c>
      <c r="C29" t="inlineStr">
        <is>
          <t>Grace Evans</t>
        </is>
      </c>
      <c r="D29" t="inlineStr">
        <is>
          <t>Panamera 4 E-Hybrid</t>
        </is>
      </c>
      <c r="E29" t="n">
        <v>2023</v>
      </c>
      <c r="F29" s="13" t="n">
        <v>109250</v>
      </c>
      <c r="G29" s="16" t="n">
        <v>8900</v>
      </c>
      <c r="H29" t="inlineStr">
        <is>
          <t>Lease</t>
        </is>
      </c>
      <c r="I29" t="inlineStr">
        <is>
          <t>Fort Worth</t>
        </is>
      </c>
      <c r="J29" t="inlineStr">
        <is>
          <t>TX</t>
        </is>
      </c>
      <c r="K29" t="inlineStr">
        <is>
          <t>Harold Bennett</t>
        </is>
      </c>
      <c r="L29" t="inlineStr">
        <is>
          <t>In Transit</t>
        </is>
      </c>
      <c r="M29" s="17">
        <f>IFERROR(DATEVALUE(B29),"")</f>
        <v/>
      </c>
      <c r="N29">
        <f>IF(M29="","",YEAR(M29))</f>
        <v/>
      </c>
      <c r="O29">
        <f>IF(M29="","",TEXT(M29,"mmm"))</f>
        <v/>
      </c>
      <c r="P29">
        <f>IF(M29="","",TEXT(M29,"mmm/yyyy"))</f>
        <v/>
      </c>
      <c r="Q29">
        <f>IF(F29="","",IF(F29&lt;75000,"Até US$ 75 mil",IF(F29&lt;100000,"US$ 75–100 mil",IF(F29&lt;150000,"US$ 100–150 mil","Acima de US$ 150 mil"))))</f>
        <v/>
      </c>
    </row>
    <row r="30">
      <c r="A30" t="n">
        <v>34</v>
      </c>
      <c r="B30" t="inlineStr">
        <is>
          <t>2025-08-14</t>
        </is>
      </c>
      <c r="C30" t="inlineStr">
        <is>
          <t>Jacob Edwards</t>
        </is>
      </c>
      <c r="D30" t="inlineStr">
        <is>
          <t>Macan T</t>
        </is>
      </c>
      <c r="E30" t="n">
        <v>2022</v>
      </c>
      <c r="F30" s="13" t="n">
        <v>82000</v>
      </c>
      <c r="G30" s="16" t="n">
        <v>21750</v>
      </c>
      <c r="H30" t="inlineStr">
        <is>
          <t>Wire Transfer</t>
        </is>
      </c>
      <c r="I30" t="inlineStr">
        <is>
          <t>Jacksonville</t>
        </is>
      </c>
      <c r="J30" t="inlineStr">
        <is>
          <t>FL</t>
        </is>
      </c>
      <c r="K30" t="inlineStr">
        <is>
          <t>Teresa Cook</t>
        </is>
      </c>
      <c r="L30" t="inlineStr">
        <is>
          <t>Delivered</t>
        </is>
      </c>
      <c r="M30" s="17">
        <f>IFERROR(DATEVALUE(B30),"")</f>
        <v/>
      </c>
      <c r="N30">
        <f>IF(M30="","",YEAR(M30))</f>
        <v/>
      </c>
      <c r="O30">
        <f>IF(M30="","",TEXT(M30,"mmm"))</f>
        <v/>
      </c>
      <c r="P30">
        <f>IF(M30="","",TEXT(M30,"mmm/yyyy"))</f>
        <v/>
      </c>
      <c r="Q30">
        <f>IF(F30="","",IF(F30&lt;75000,"Até US$ 75 mil",IF(F30&lt;100000,"US$ 75–100 mil",IF(F30&lt;150000,"US$ 100–150 mil","Acima de US$ 150 mil"))))</f>
        <v/>
      </c>
    </row>
    <row r="31">
      <c r="A31" t="n">
        <v>35</v>
      </c>
      <c r="B31" t="inlineStr">
        <is>
          <t>2025-09-01</t>
        </is>
      </c>
      <c r="C31" t="inlineStr">
        <is>
          <t>Victoria Collins</t>
        </is>
      </c>
      <c r="D31" t="inlineStr">
        <is>
          <t>Taycan Turbo S</t>
        </is>
      </c>
      <c r="E31" t="n">
        <v>2025</v>
      </c>
      <c r="F31" s="13" t="n">
        <v>214000</v>
      </c>
      <c r="G31" s="16" t="n">
        <v>0</v>
      </c>
      <c r="H31" t="inlineStr">
        <is>
          <t>Crypto Payment</t>
        </is>
      </c>
      <c r="I31" t="inlineStr">
        <is>
          <t>San Diego</t>
        </is>
      </c>
      <c r="J31" t="inlineStr">
        <is>
          <t>CA</t>
        </is>
      </c>
      <c r="K31" t="inlineStr">
        <is>
          <t>Frank Morgan</t>
        </is>
      </c>
      <c r="L31" t="inlineStr">
        <is>
          <t>Pending Review</t>
        </is>
      </c>
      <c r="M31" s="17">
        <f>IFERROR(DATEVALUE(B31),"")</f>
        <v/>
      </c>
      <c r="N31">
        <f>IF(M31="","",YEAR(M31))</f>
        <v/>
      </c>
      <c r="O31">
        <f>IF(M31="","",TEXT(M31,"mmm"))</f>
        <v/>
      </c>
      <c r="P31">
        <f>IF(M31="","",TEXT(M31,"mmm/yyyy"))</f>
        <v/>
      </c>
      <c r="Q31">
        <f>IF(F31="","",IF(F31&lt;75000,"Até US$ 75 mil",IF(F31&lt;100000,"US$ 75–100 mil",IF(F31&lt;150000,"US$ 100–150 mil","Acima de US$ 150 mil"))))</f>
        <v/>
      </c>
    </row>
    <row r="32">
      <c r="A32" t="n">
        <v>36</v>
      </c>
      <c r="B32" t="inlineStr">
        <is>
          <t>INVALID</t>
        </is>
      </c>
      <c r="C32" t="inlineStr">
        <is>
          <t>Andrew Simmons</t>
        </is>
      </c>
      <c r="D32" t="inlineStr">
        <is>
          <t>911 Carrera</t>
        </is>
      </c>
      <c r="E32" t="n">
        <v>2024</v>
      </c>
      <c r="F32" s="13" t="n">
        <v>124500</v>
      </c>
      <c r="G32" s="16" t="n">
        <v>4800</v>
      </c>
      <c r="H32" t="inlineStr">
        <is>
          <t>Credit Card</t>
        </is>
      </c>
      <c r="I32" t="inlineStr">
        <is>
          <t>Tampa</t>
        </is>
      </c>
      <c r="J32" t="inlineStr">
        <is>
          <t>FL</t>
        </is>
      </c>
      <c r="K32" t="inlineStr">
        <is>
          <t>natalie</t>
        </is>
      </c>
      <c r="L32" t="inlineStr">
        <is>
          <t>Delivered</t>
        </is>
      </c>
      <c r="M32" s="17">
        <f>IFERROR(DATEVALUE(B32),"")</f>
        <v/>
      </c>
      <c r="N32">
        <f>IF(M32="","",YEAR(M32))</f>
        <v/>
      </c>
      <c r="O32">
        <f>IF(M32="","",TEXT(M32,"mmm"))</f>
        <v/>
      </c>
      <c r="P32">
        <f>IF(M32="","",TEXT(M32,"mmm/yyyy"))</f>
        <v/>
      </c>
      <c r="Q32">
        <f>IF(F32="","",IF(F32&lt;75000,"Até US$ 75 mil",IF(F32&lt;100000,"US$ 75–100 mil",IF(F32&lt;150000,"US$ 100–150 mil","Acima de US$ 150 mil"))))</f>
        <v/>
      </c>
    </row>
    <row r="33">
      <c r="A33" t="n">
        <v>37</v>
      </c>
      <c r="B33" t="inlineStr">
        <is>
          <t>2025-09-18</t>
        </is>
      </c>
      <c r="C33" t="inlineStr">
        <is>
          <t>Chloe Bennett</t>
        </is>
      </c>
      <c r="D33" t="inlineStr">
        <is>
          <t>Cayenne S</t>
        </is>
      </c>
      <c r="E33" t="n">
        <v>2023</v>
      </c>
      <c r="F33" s="13" t="n">
        <v>98200</v>
      </c>
      <c r="G33" s="16" t="n">
        <v>12200</v>
      </c>
      <c r="H33" t="inlineStr">
        <is>
          <t>Bank Transfer</t>
        </is>
      </c>
      <c r="I33" t="inlineStr">
        <is>
          <t>Sacramento</t>
        </is>
      </c>
      <c r="J33" t="inlineStr">
        <is>
          <t>CA</t>
        </is>
      </c>
      <c r="K33" t="inlineStr">
        <is>
          <t>ERIC woods</t>
        </is>
      </c>
      <c r="L33" t="inlineStr">
        <is>
          <t>Pending</t>
        </is>
      </c>
      <c r="M33" s="17">
        <f>IFERROR(DATEVALUE(B33),"")</f>
        <v/>
      </c>
      <c r="N33">
        <f>IF(M33="","",YEAR(M33))</f>
        <v/>
      </c>
      <c r="O33">
        <f>IF(M33="","",TEXT(M33,"mmm"))</f>
        <v/>
      </c>
      <c r="P33">
        <f>IF(M33="","",TEXT(M33,"mmm/yyyy"))</f>
        <v/>
      </c>
      <c r="Q33">
        <f>IF(F33="","",IF(F33&lt;75000,"Até US$ 75 mil",IF(F33&lt;100000,"US$ 75–100 mil",IF(F33&lt;150000,"US$ 100–150 mil","Acima de US$ 150 mil"))))</f>
        <v/>
      </c>
    </row>
    <row r="34">
      <c r="A34" t="n">
        <v>38</v>
      </c>
      <c r="B34" t="inlineStr">
        <is>
          <t>2025-10-04</t>
        </is>
      </c>
      <c r="C34" t="inlineStr">
        <is>
          <t>Ryan-Cooper</t>
        </is>
      </c>
      <c r="D34" t="inlineStr">
        <is>
          <t>Macan</t>
        </is>
      </c>
      <c r="E34" t="n">
        <v>2022</v>
      </c>
      <c r="F34" s="13" t="n">
        <v>67500</v>
      </c>
      <c r="G34" s="16" t="n">
        <v>24100</v>
      </c>
      <c r="H34" t="inlineStr">
        <is>
          <t>Financing</t>
        </is>
      </c>
      <c r="I34" t="inlineStr">
        <is>
          <t>Cleveland</t>
        </is>
      </c>
      <c r="J34" t="inlineStr">
        <is>
          <t>OH</t>
        </is>
      </c>
      <c r="K34" t="inlineStr">
        <is>
          <t>Patricia Fox</t>
        </is>
      </c>
      <c r="L34" t="inlineStr">
        <is>
          <t>Delivered</t>
        </is>
      </c>
      <c r="M34" s="17">
        <f>IFERROR(DATEVALUE(B34),"")</f>
        <v/>
      </c>
      <c r="N34">
        <f>IF(M34="","",YEAR(M34))</f>
        <v/>
      </c>
      <c r="O34">
        <f>IF(M34="","",TEXT(M34,"mmm"))</f>
        <v/>
      </c>
      <c r="P34">
        <f>IF(M34="","",TEXT(M34,"mmm/yyyy"))</f>
        <v/>
      </c>
      <c r="Q34">
        <f>IF(F34="","",IF(F34&lt;75000,"Até US$ 75 mil",IF(F34&lt;100000,"US$ 75–100 mil",IF(F34&lt;150000,"US$ 100–150 mil","Acima de US$ 150 mil"))))</f>
        <v/>
      </c>
    </row>
    <row r="35">
      <c r="A35" t="n">
        <v>39</v>
      </c>
      <c r="B35" t="inlineStr">
        <is>
          <t>2025-10-12</t>
        </is>
      </c>
      <c r="C35" t="inlineStr">
        <is>
          <t>Hannah Reed</t>
        </is>
      </c>
      <c r="D35" t="inlineStr">
        <is>
          <t>Taycan</t>
        </is>
      </c>
      <c r="E35" t="n">
        <v>2025</v>
      </c>
      <c r="F35" s="13" t="n">
        <v>116900</v>
      </c>
      <c r="G35" s="16" t="n">
        <v>0</v>
      </c>
      <c r="H35" t="inlineStr">
        <is>
          <t>Wire Transfer</t>
        </is>
      </c>
      <c r="I35" t="inlineStr">
        <is>
          <t>Milwaukee</t>
        </is>
      </c>
      <c r="J35" t="inlineStr">
        <is>
          <t>WI</t>
        </is>
      </c>
      <c r="K35" t="inlineStr">
        <is>
          <t>alan price</t>
        </is>
      </c>
      <c r="L35" t="inlineStr">
        <is>
          <t>In Transit</t>
        </is>
      </c>
      <c r="M35" s="17">
        <f>IFERROR(DATEVALUE(B35),"")</f>
        <v/>
      </c>
      <c r="N35">
        <f>IF(M35="","",YEAR(M35))</f>
        <v/>
      </c>
      <c r="O35">
        <f>IF(M35="","",TEXT(M35,"mmm"))</f>
        <v/>
      </c>
      <c r="P35">
        <f>IF(M35="","",TEXT(M35,"mmm/yyyy"))</f>
        <v/>
      </c>
      <c r="Q35">
        <f>IF(F35="","",IF(F35&lt;75000,"Até US$ 75 mil",IF(F35&lt;100000,"US$ 75–100 mil",IF(F35&lt;150000,"US$ 100–150 mil","Acima de US$ 150 mil"))))</f>
        <v/>
      </c>
    </row>
    <row r="36">
      <c r="A36" t="n">
        <v>40</v>
      </c>
      <c r="B36" t="inlineStr">
        <is>
          <t>2025-10-29</t>
        </is>
      </c>
      <c r="C36" t="inlineStr">
        <is>
          <t>Dylan Parker</t>
        </is>
      </c>
      <c r="D36" t="inlineStr">
        <is>
          <t>Panamera 4S</t>
        </is>
      </c>
      <c r="E36" t="n">
        <v>2024</v>
      </c>
      <c r="F36" s="13" t="n">
        <v>112000</v>
      </c>
      <c r="G36" s="16" t="n">
        <v>10</v>
      </c>
      <c r="H36" t="inlineStr">
        <is>
          <t>Cash</t>
        </is>
      </c>
      <c r="I36" t="inlineStr">
        <is>
          <t>Kansas City</t>
        </is>
      </c>
      <c r="J36" t="inlineStr">
        <is>
          <t>MO</t>
        </is>
      </c>
      <c r="K36" t="inlineStr">
        <is>
          <t>Sandra Hill</t>
        </is>
      </c>
      <c r="L36" t="inlineStr">
        <is>
          <t>Delivered</t>
        </is>
      </c>
      <c r="M36" s="17">
        <f>IFERROR(DATEVALUE(B36),"")</f>
        <v/>
      </c>
      <c r="N36">
        <f>IF(M36="","",YEAR(M36))</f>
        <v/>
      </c>
      <c r="O36">
        <f>IF(M36="","",TEXT(M36,"mmm"))</f>
        <v/>
      </c>
      <c r="P36">
        <f>IF(M36="","",TEXT(M36,"mmm/yyyy"))</f>
        <v/>
      </c>
      <c r="Q36">
        <f>IF(F36="","",IF(F36&lt;75000,"Até US$ 75 mil",IF(F36&lt;100000,"US$ 75–100 mil",IF(F36&lt;150000,"US$ 100–150 mil","Acima de US$ 150 mil"))))</f>
        <v/>
      </c>
    </row>
    <row r="37">
      <c r="A37" t="n">
        <v>41</v>
      </c>
      <c r="B37" t="inlineStr">
        <is>
          <t>2025-02-11</t>
        </is>
      </c>
      <c r="C37" t="inlineStr">
        <is>
          <t>Lily Coleman</t>
        </is>
      </c>
      <c r="D37" t="inlineStr">
        <is>
          <t>718 Boxster</t>
        </is>
      </c>
      <c r="E37" t="n">
        <v>2021</v>
      </c>
      <c r="F37" s="13" t="n">
        <v>74000</v>
      </c>
      <c r="G37" s="16" t="n">
        <v>31000</v>
      </c>
      <c r="H37" t="inlineStr">
        <is>
          <t>Debit Card</t>
        </is>
      </c>
      <c r="I37" t="inlineStr">
        <is>
          <t>Omaha</t>
        </is>
      </c>
      <c r="J37" t="inlineStr">
        <is>
          <t>NE</t>
        </is>
      </c>
      <c r="K37" t="inlineStr">
        <is>
          <t>Victor Lee</t>
        </is>
      </c>
      <c r="L37" t="inlineStr">
        <is>
          <t>Cancelled</t>
        </is>
      </c>
      <c r="M37" s="17">
        <f>IFERROR(DATEVALUE(B37),"")</f>
        <v/>
      </c>
      <c r="N37">
        <f>IF(M37="","",YEAR(M37))</f>
        <v/>
      </c>
      <c r="O37">
        <f>IF(M37="","",TEXT(M37,"mmm"))</f>
        <v/>
      </c>
      <c r="P37">
        <f>IF(M37="","",TEXT(M37,"mmm/yyyy"))</f>
        <v/>
      </c>
      <c r="Q37">
        <f>IF(F37="","",IF(F37&lt;75000,"Até US$ 75 mil",IF(F37&lt;100000,"US$ 75–100 mil",IF(F37&lt;150000,"US$ 100–150 mil","Acima de US$ 150 mil"))))</f>
        <v/>
      </c>
    </row>
    <row r="38">
      <c r="A38" t="n">
        <v>42</v>
      </c>
      <c r="B38" t="inlineStr">
        <is>
          <t>2025-11-16</t>
        </is>
      </c>
      <c r="C38" t="inlineStr">
        <is>
          <t>Nathan Hughes</t>
        </is>
      </c>
      <c r="D38" t="inlineStr">
        <is>
          <t>911 Turbo</t>
        </is>
      </c>
      <c r="E38" t="n">
        <v>2024</v>
      </c>
      <c r="F38" s="13" t="n">
        <v>198300</v>
      </c>
      <c r="G38" s="16" t="n">
        <v>2400</v>
      </c>
      <c r="H38" t="inlineStr">
        <is>
          <t>Wire Transfer</t>
        </is>
      </c>
      <c r="I38" t="inlineStr">
        <is>
          <t>Albuquerque</t>
        </is>
      </c>
      <c r="J38" t="inlineStr">
        <is>
          <t>NM</t>
        </is>
      </c>
      <c r="K38" t="inlineStr">
        <is>
          <t>monica</t>
        </is>
      </c>
      <c r="L38" t="inlineStr">
        <is>
          <t>Awaiting Delivery</t>
        </is>
      </c>
      <c r="M38" s="17">
        <f>IFERROR(DATEVALUE(B38),"")</f>
        <v/>
      </c>
      <c r="N38">
        <f>IF(M38="","",YEAR(M38))</f>
        <v/>
      </c>
      <c r="O38">
        <f>IF(M38="","",TEXT(M38,"mmm"))</f>
        <v/>
      </c>
      <c r="P38">
        <f>IF(M38="","",TEXT(M38,"mmm/yyyy"))</f>
        <v/>
      </c>
      <c r="Q38">
        <f>IF(F38="","",IF(F38&lt;75000,"Até US$ 75 mil",IF(F38&lt;100000,"US$ 75–100 mil",IF(F38&lt;150000,"US$ 100–150 mil","Acima de US$ 150 mil"))))</f>
        <v/>
      </c>
    </row>
    <row r="39">
      <c r="A39" t="n">
        <v>43</v>
      </c>
      <c r="B39" t="inlineStr">
        <is>
          <t>INVALID</t>
        </is>
      </c>
      <c r="C39" t="inlineStr">
        <is>
          <t>Zoe Foster</t>
        </is>
      </c>
      <c r="D39" t="inlineStr">
        <is>
          <t>Cayenne Coupe</t>
        </is>
      </c>
      <c r="E39" t="n">
        <v>2023</v>
      </c>
      <c r="F39" s="13" t="n">
        <v>103750</v>
      </c>
      <c r="G39" s="16" t="n">
        <v>6773</v>
      </c>
      <c r="H39" t="inlineStr">
        <is>
          <t>Wire Transfer</t>
        </is>
      </c>
      <c r="I39" t="inlineStr">
        <is>
          <t>Tucson</t>
        </is>
      </c>
      <c r="J39" t="inlineStr">
        <is>
          <t>AZ</t>
        </is>
      </c>
      <c r="K39" t="inlineStr">
        <is>
          <t>Gregory Adams</t>
        </is>
      </c>
      <c r="L39" t="inlineStr">
        <is>
          <t>Pending Approval</t>
        </is>
      </c>
      <c r="M39" s="17">
        <f>IFERROR(DATEVALUE(B39),"")</f>
        <v/>
      </c>
      <c r="N39">
        <f>IF(M39="","",YEAR(M39))</f>
        <v/>
      </c>
      <c r="O39">
        <f>IF(M39="","",TEXT(M39,"mmm"))</f>
        <v/>
      </c>
      <c r="P39">
        <f>IF(M39="","",TEXT(M39,"mmm/yyyy"))</f>
        <v/>
      </c>
      <c r="Q39">
        <f>IF(F39="","",IF(F39&lt;75000,"Até US$ 75 mil",IF(F39&lt;100000,"US$ 75–100 mil",IF(F39&lt;150000,"US$ 100–150 mil","Acima de US$ 150 mil"))))</f>
        <v/>
      </c>
    </row>
    <row r="40">
      <c r="A40" t="n">
        <v>44</v>
      </c>
      <c r="B40" t="inlineStr">
        <is>
          <t>INVALID</t>
        </is>
      </c>
      <c r="C40" t="inlineStr">
        <is>
          <t>Caleb Ward</t>
        </is>
      </c>
      <c r="D40" t="inlineStr">
        <is>
          <t>Macan GTS</t>
        </is>
      </c>
      <c r="E40" t="n">
        <v>2024</v>
      </c>
      <c r="F40" s="13" t="n">
        <v>93600</v>
      </c>
      <c r="G40" s="16" t="n">
        <v>5800</v>
      </c>
      <c r="H40" t="inlineStr">
        <is>
          <t>Financing</t>
        </is>
      </c>
      <c r="I40" t="inlineStr">
        <is>
          <t>Fresno</t>
        </is>
      </c>
      <c r="J40" t="inlineStr">
        <is>
          <t>CA</t>
        </is>
      </c>
      <c r="K40" t="inlineStr">
        <is>
          <t>Laura West</t>
        </is>
      </c>
      <c r="L40" t="inlineStr">
        <is>
          <t>Shipped</t>
        </is>
      </c>
      <c r="M40" s="17">
        <f>IFERROR(DATEVALUE(B40),"")</f>
        <v/>
      </c>
      <c r="N40">
        <f>IF(M40="","",YEAR(M40))</f>
        <v/>
      </c>
      <c r="O40">
        <f>IF(M40="","",TEXT(M40,"mmm"))</f>
        <v/>
      </c>
      <c r="P40">
        <f>IF(M40="","",TEXT(M40,"mmm/yyyy"))</f>
        <v/>
      </c>
      <c r="Q40">
        <f>IF(F40="","",IF(F40&lt;75000,"Até US$ 75 mil",IF(F40&lt;100000,"US$ 75–100 mil",IF(F40&lt;150000,"US$ 100–150 mil","Acima de US$ 150 mil"))))</f>
        <v/>
      </c>
    </row>
    <row r="41">
      <c r="A41" t="n">
        <v>45</v>
      </c>
      <c r="B41" t="inlineStr">
        <is>
          <t>2025-12-07</t>
        </is>
      </c>
      <c r="C41" t="inlineStr">
        <is>
          <t>Stella Brooks</t>
        </is>
      </c>
      <c r="D41" t="inlineStr">
        <is>
          <t>Taycan 4S</t>
        </is>
      </c>
      <c r="E41" t="n">
        <v>2025</v>
      </c>
      <c r="F41" s="13" t="n">
        <v>129000</v>
      </c>
      <c r="G41" s="16" t="n">
        <v>0</v>
      </c>
      <c r="H41" t="inlineStr">
        <is>
          <t>ACH Payment</t>
        </is>
      </c>
      <c r="I41" t="inlineStr">
        <is>
          <t>Virginia Beach</t>
        </is>
      </c>
      <c r="J41" t="inlineStr">
        <is>
          <t>VA</t>
        </is>
      </c>
      <c r="K41" t="inlineStr">
        <is>
          <t>Henry King</t>
        </is>
      </c>
      <c r="L41" t="inlineStr">
        <is>
          <t>In Transit</t>
        </is>
      </c>
      <c r="M41" s="17">
        <f>IFERROR(DATEVALUE(B41),"")</f>
        <v/>
      </c>
      <c r="N41">
        <f>IF(M41="","",YEAR(M41))</f>
        <v/>
      </c>
      <c r="O41">
        <f>IF(M41="","",TEXT(M41,"mmm"))</f>
        <v/>
      </c>
      <c r="P41">
        <f>IF(M41="","",TEXT(M41,"mmm/yyyy"))</f>
        <v/>
      </c>
      <c r="Q41">
        <f>IF(F41="","",IF(F41&lt;75000,"Até US$ 75 mil",IF(F41&lt;100000,"US$ 75–100 mil",IF(F41&lt;150000,"US$ 100–150 mil","Acima de US$ 150 mil"))))</f>
        <v/>
      </c>
    </row>
    <row r="42">
      <c r="A42" t="n">
        <v>46</v>
      </c>
      <c r="B42" t="inlineStr">
        <is>
          <t>2025-12-22</t>
        </is>
      </c>
      <c r="C42" t="inlineStr">
        <is>
          <t>Owen Bryant</t>
        </is>
      </c>
      <c r="D42" t="inlineStr">
        <is>
          <t>Panamera Turbo</t>
        </is>
      </c>
      <c r="E42" t="n">
        <v>2022</v>
      </c>
      <c r="F42" s="13" t="n">
        <v>136000</v>
      </c>
      <c r="G42" s="16" t="n">
        <v>18400</v>
      </c>
      <c r="H42" t="inlineStr">
        <is>
          <t>Credit Card</t>
        </is>
      </c>
      <c r="I42" t="inlineStr">
        <is>
          <t>Colorado Springs</t>
        </is>
      </c>
      <c r="J42" t="inlineStr">
        <is>
          <t>CO</t>
        </is>
      </c>
      <c r="K42" t="inlineStr">
        <is>
          <t>amber clark</t>
        </is>
      </c>
      <c r="L42" t="inlineStr">
        <is>
          <t>Delivered</t>
        </is>
      </c>
      <c r="M42" s="17">
        <f>IFERROR(DATEVALUE(B42),"")</f>
        <v/>
      </c>
      <c r="N42">
        <f>IF(M42="","",YEAR(M42))</f>
        <v/>
      </c>
      <c r="O42">
        <f>IF(M42="","",TEXT(M42,"mmm"))</f>
        <v/>
      </c>
      <c r="P42">
        <f>IF(M42="","",TEXT(M42,"mmm/yyyy"))</f>
        <v/>
      </c>
      <c r="Q42">
        <f>IF(F42="","",IF(F42&lt;75000,"Até US$ 75 mil",IF(F42&lt;100000,"US$ 75–100 mil",IF(F42&lt;150000,"US$ 100–150 mil","Acima de US$ 150 mil"))))</f>
        <v/>
      </c>
    </row>
    <row r="43">
      <c r="A43" t="n">
        <v>47</v>
      </c>
      <c r="B43" t="inlineStr">
        <is>
          <t>INVALID</t>
        </is>
      </c>
      <c r="C43" t="inlineStr">
        <is>
          <t>Nora Simmons</t>
        </is>
      </c>
      <c r="D43" t="inlineStr">
        <is>
          <t>911 GT3 RS</t>
        </is>
      </c>
      <c r="E43" t="n">
        <v>2024</v>
      </c>
      <c r="F43" s="13" t="n">
        <v>286500</v>
      </c>
      <c r="G43" s="16" t="n">
        <v>700</v>
      </c>
      <c r="H43" t="inlineStr">
        <is>
          <t>Wire Transfer</t>
        </is>
      </c>
      <c r="I43" t="inlineStr">
        <is>
          <t>Arlington</t>
        </is>
      </c>
      <c r="J43" t="inlineStr">
        <is>
          <t>TX</t>
        </is>
      </c>
      <c r="K43" t="inlineStr">
        <is>
          <t>PETER Lane</t>
        </is>
      </c>
      <c r="L43" t="inlineStr">
        <is>
          <t>Pending</t>
        </is>
      </c>
      <c r="M43" s="17">
        <f>IFERROR(DATEVALUE(B43),"")</f>
        <v/>
      </c>
      <c r="N43">
        <f>IF(M43="","",YEAR(M43))</f>
        <v/>
      </c>
      <c r="O43">
        <f>IF(M43="","",TEXT(M43,"mmm"))</f>
        <v/>
      </c>
      <c r="P43">
        <f>IF(M43="","",TEXT(M43,"mmm/yyyy"))</f>
        <v/>
      </c>
      <c r="Q43">
        <f>IF(F43="","",IF(F43&lt;75000,"Até US$ 75 mil",IF(F43&lt;100000,"US$ 75–100 mil",IF(F43&lt;150000,"US$ 100–150 mil","Acima de US$ 150 mil"))))</f>
        <v/>
      </c>
    </row>
    <row r="44">
      <c r="A44" t="n">
        <v>48</v>
      </c>
      <c r="B44" t="inlineStr">
        <is>
          <t>2026-01-08</t>
        </is>
      </c>
      <c r="C44" t="inlineStr">
        <is>
          <t>Isaac Butler</t>
        </is>
      </c>
      <c r="D44" t="inlineStr">
        <is>
          <t>Cayenne E-Hybrid</t>
        </is>
      </c>
      <c r="E44" t="n">
        <v>2023</v>
      </c>
      <c r="F44" s="13" t="n">
        <v>92800</v>
      </c>
      <c r="G44" s="16" t="n">
        <v>15000</v>
      </c>
      <c r="H44" t="inlineStr">
        <is>
          <t>Lease</t>
        </is>
      </c>
      <c r="I44" t="inlineStr">
        <is>
          <t>Bakersfield</t>
        </is>
      </c>
      <c r="J44" t="inlineStr">
        <is>
          <t>CA</t>
        </is>
      </c>
      <c r="K44" t="inlineStr">
        <is>
          <t>Grace Morris</t>
        </is>
      </c>
      <c r="L44" t="inlineStr">
        <is>
          <t>Delivered</t>
        </is>
      </c>
      <c r="M44" s="17">
        <f>IFERROR(DATEVALUE(B44),"")</f>
        <v/>
      </c>
      <c r="N44">
        <f>IF(M44="","",YEAR(M44))</f>
        <v/>
      </c>
      <c r="O44">
        <f>IF(M44="","",TEXT(M44,"mmm"))</f>
        <v/>
      </c>
      <c r="P44">
        <f>IF(M44="","",TEXT(M44,"mmm/yyyy"))</f>
        <v/>
      </c>
      <c r="Q44">
        <f>IF(F44="","",IF(F44&lt;75000,"Até US$ 75 mil",IF(F44&lt;100000,"US$ 75–100 mil",IF(F44&lt;150000,"US$ 100–150 mil","Acima de US$ 150 mil"))))</f>
        <v/>
      </c>
    </row>
    <row r="45">
      <c r="A45" t="n">
        <v>49</v>
      </c>
      <c r="B45" t="inlineStr">
        <is>
          <t>2026-01-15</t>
        </is>
      </c>
      <c r="C45" t="inlineStr">
        <is>
          <t>Leah Henderson</t>
        </is>
      </c>
      <c r="D45" t="inlineStr">
        <is>
          <t>Macan T</t>
        </is>
      </c>
      <c r="E45" t="n">
        <v>2022</v>
      </c>
      <c r="F45" s="13" t="n">
        <v>72400</v>
      </c>
      <c r="G45" s="16" t="n">
        <v>19750</v>
      </c>
      <c r="H45" t="inlineStr">
        <is>
          <t>Cash</t>
        </is>
      </c>
      <c r="I45" t="inlineStr">
        <is>
          <t>Mesa</t>
        </is>
      </c>
      <c r="J45" t="inlineStr">
        <is>
          <t>AZ</t>
        </is>
      </c>
      <c r="K45" t="inlineStr">
        <is>
          <t>Kyle Perry</t>
        </is>
      </c>
      <c r="L45" t="inlineStr">
        <is>
          <t>Awaiting Pickup</t>
        </is>
      </c>
      <c r="M45" s="17">
        <f>IFERROR(DATEVALUE(B45),"")</f>
        <v/>
      </c>
      <c r="N45">
        <f>IF(M45="","",YEAR(M45))</f>
        <v/>
      </c>
      <c r="O45">
        <f>IF(M45="","",TEXT(M45,"mmm"))</f>
        <v/>
      </c>
      <c r="P45">
        <f>IF(M45="","",TEXT(M45,"mmm/yyyy"))</f>
        <v/>
      </c>
      <c r="Q45">
        <f>IF(F45="","",IF(F45&lt;75000,"Até US$ 75 mil",IF(F45&lt;100000,"US$ 75–100 mil",IF(F45&lt;150000,"US$ 100–150 mil","Acima de US$ 150 mil"))))</f>
        <v/>
      </c>
    </row>
    <row r="46">
      <c r="A46" t="n">
        <v>50</v>
      </c>
      <c r="B46" t="inlineStr">
        <is>
          <t>2026-01-28</t>
        </is>
      </c>
      <c r="C46" t="inlineStr">
        <is>
          <t>Christian Bailey</t>
        </is>
      </c>
      <c r="D46" t="inlineStr">
        <is>
          <t>Taycan Turbo</t>
        </is>
      </c>
      <c r="E46" t="n">
        <v>2025</v>
      </c>
      <c r="F46" s="13" t="n">
        <v>158500</v>
      </c>
      <c r="G46" s="16" t="n">
        <v>3200</v>
      </c>
      <c r="H46" t="inlineStr">
        <is>
          <t>Crypto Payment</t>
        </is>
      </c>
      <c r="I46" t="inlineStr">
        <is>
          <t>Atlanta</t>
        </is>
      </c>
      <c r="J46" t="inlineStr">
        <is>
          <t>GA</t>
        </is>
      </c>
      <c r="K46" t="inlineStr">
        <is>
          <t>megan reed</t>
        </is>
      </c>
      <c r="L46" t="inlineStr">
        <is>
          <t>Delivered</t>
        </is>
      </c>
      <c r="M46" s="17">
        <f>IFERROR(DATEVALUE(B46),"")</f>
        <v/>
      </c>
      <c r="N46">
        <f>IF(M46="","",YEAR(M46))</f>
        <v/>
      </c>
      <c r="O46">
        <f>IF(M46="","",TEXT(M46,"mmm"))</f>
        <v/>
      </c>
      <c r="P46">
        <f>IF(M46="","",TEXT(M46,"mmm/yyyy"))</f>
        <v/>
      </c>
      <c r="Q46">
        <f>IF(F46="","",IF(F46&lt;75000,"Até US$ 75 mil",IF(F46&lt;100000,"US$ 75–100 mil",IF(F46&lt;150000,"US$ 100–150 mil","Acima de US$ 150 mil"))))</f>
        <v/>
      </c>
    </row>
    <row r="47">
      <c r="A47" t="n">
        <v>51</v>
      </c>
      <c r="B47" t="inlineStr">
        <is>
          <t>2026-02-03</t>
        </is>
      </c>
      <c r="C47" t="inlineStr">
        <is>
          <t>Audrey Russell</t>
        </is>
      </c>
      <c r="D47" t="inlineStr">
        <is>
          <t>718 Cayman</t>
        </is>
      </c>
      <c r="E47" t="n">
        <v>2021</v>
      </c>
      <c r="F47" s="13" t="n">
        <v>69900</v>
      </c>
      <c r="G47" s="16" t="n">
        <v>27600</v>
      </c>
      <c r="H47" t="inlineStr">
        <is>
          <t>Bank Transfer</t>
        </is>
      </c>
      <c r="I47" t="inlineStr">
        <is>
          <t>Long Beach</t>
        </is>
      </c>
      <c r="J47" t="inlineStr">
        <is>
          <t>CA</t>
        </is>
      </c>
      <c r="K47" t="inlineStr">
        <is>
          <t>Carl Simmons</t>
        </is>
      </c>
      <c r="L47" t="inlineStr">
        <is>
          <t>Pending</t>
        </is>
      </c>
      <c r="M47" s="17">
        <f>IFERROR(DATEVALUE(B47),"")</f>
        <v/>
      </c>
      <c r="N47">
        <f>IF(M47="","",YEAR(M47))</f>
        <v/>
      </c>
      <c r="O47">
        <f>IF(M47="","",TEXT(M47,"mmm"))</f>
        <v/>
      </c>
      <c r="P47">
        <f>IF(M47="","",TEXT(M47,"mmm/yyyy"))</f>
        <v/>
      </c>
      <c r="Q47">
        <f>IF(F47="","",IF(F47&lt;75000,"Até US$ 75 mil",IF(F47&lt;100000,"US$ 75–100 mil",IF(F47&lt;150000,"US$ 100–150 mil","Acima de US$ 150 mil"))))</f>
        <v/>
      </c>
    </row>
    <row r="48">
      <c r="A48" t="n">
        <v>52</v>
      </c>
      <c r="B48" t="inlineStr">
        <is>
          <t>INVALID</t>
        </is>
      </c>
      <c r="C48" t="inlineStr">
        <is>
          <t>Hunter Griffin</t>
        </is>
      </c>
      <c r="D48" t="inlineStr">
        <is>
          <t>911 Targa 4</t>
        </is>
      </c>
      <c r="E48" t="n">
        <v>2024</v>
      </c>
      <c r="F48" s="13" t="n">
        <v>141250</v>
      </c>
      <c r="G48" s="16" t="n">
        <v>2100</v>
      </c>
      <c r="H48" t="inlineStr">
        <is>
          <t>Financing</t>
        </is>
      </c>
      <c r="I48" t="inlineStr">
        <is>
          <t>Oakland</t>
        </is>
      </c>
      <c r="J48" t="inlineStr">
        <is>
          <t>CA</t>
        </is>
      </c>
      <c r="K48" t="inlineStr">
        <is>
          <t>LINDA cole</t>
        </is>
      </c>
      <c r="L48" t="inlineStr">
        <is>
          <t>In Transit</t>
        </is>
      </c>
      <c r="M48" s="17">
        <f>IFERROR(DATEVALUE(B48),"")</f>
        <v/>
      </c>
      <c r="N48">
        <f>IF(M48="","",YEAR(M48))</f>
        <v/>
      </c>
      <c r="O48">
        <f>IF(M48="","",TEXT(M48,"mmm"))</f>
        <v/>
      </c>
      <c r="P48">
        <f>IF(M48="","",TEXT(M48,"mmm/yyyy"))</f>
        <v/>
      </c>
      <c r="Q48">
        <f>IF(F48="","",IF(F48&lt;75000,"Até US$ 75 mil",IF(F48&lt;100000,"US$ 75–100 mil",IF(F48&lt;150000,"US$ 100–150 mil","Acima de US$ 150 mil"))))</f>
        <v/>
      </c>
    </row>
    <row r="49">
      <c r="A49" t="n">
        <v>53</v>
      </c>
      <c r="B49" t="inlineStr">
        <is>
          <t>2026-02-19</t>
        </is>
      </c>
      <c r="C49" t="inlineStr">
        <is>
          <t>Scarlett Diaz</t>
        </is>
      </c>
      <c r="D49" t="inlineStr">
        <is>
          <t>Panamera</t>
        </is>
      </c>
      <c r="E49" t="n">
        <v>2020</v>
      </c>
      <c r="F49" s="13" t="n">
        <v>71500</v>
      </c>
      <c r="G49" s="16" t="n">
        <v>52000</v>
      </c>
      <c r="H49" t="inlineStr">
        <is>
          <t>Wire Transfer</t>
        </is>
      </c>
      <c r="I49" t="inlineStr">
        <is>
          <t>Tulsa</t>
        </is>
      </c>
      <c r="J49" t="inlineStr">
        <is>
          <t>OK</t>
        </is>
      </c>
      <c r="K49" t="inlineStr">
        <is>
          <t>Martin Brooks</t>
        </is>
      </c>
      <c r="L49" t="inlineStr">
        <is>
          <t>Delivered</t>
        </is>
      </c>
      <c r="M49" s="17">
        <f>IFERROR(DATEVALUE(B49),"")</f>
        <v/>
      </c>
      <c r="N49">
        <f>IF(M49="","",YEAR(M49))</f>
        <v/>
      </c>
      <c r="O49">
        <f>IF(M49="","",TEXT(M49,"mmm"))</f>
        <v/>
      </c>
      <c r="P49">
        <f>IF(M49="","",TEXT(M49,"mmm/yyyy"))</f>
        <v/>
      </c>
      <c r="Q49">
        <f>IF(F49="","",IF(F49&lt;75000,"Até US$ 75 mil",IF(F49&lt;100000,"US$ 75–100 mil",IF(F49&lt;150000,"US$ 100–150 mil","Acima de US$ 150 mil"))))</f>
        <v/>
      </c>
    </row>
    <row r="50">
      <c r="A50" t="n">
        <v>54</v>
      </c>
      <c r="B50" t="inlineStr">
        <is>
          <t>2026-02-25</t>
        </is>
      </c>
      <c r="C50" t="inlineStr">
        <is>
          <t>Eli Jenkins</t>
        </is>
      </c>
      <c r="D50" t="inlineStr">
        <is>
          <t>Cayenne Turbo</t>
        </is>
      </c>
      <c r="E50" t="n">
        <v>2023</v>
      </c>
      <c r="F50" s="13" t="n">
        <v>146800</v>
      </c>
      <c r="G50" s="16" t="n">
        <v>11300</v>
      </c>
      <c r="H50" t="inlineStr">
        <is>
          <t>Credit Card</t>
        </is>
      </c>
      <c r="I50" t="inlineStr">
        <is>
          <t>Wichita</t>
        </is>
      </c>
      <c r="J50" t="inlineStr">
        <is>
          <t>KS</t>
        </is>
      </c>
      <c r="K50" t="inlineStr">
        <is>
          <t>Diana Long</t>
        </is>
      </c>
      <c r="L50" t="inlineStr">
        <is>
          <t>Pending</t>
        </is>
      </c>
      <c r="M50" s="17">
        <f>IFERROR(DATEVALUE(B50),"")</f>
        <v/>
      </c>
      <c r="N50">
        <f>IF(M50="","",YEAR(M50))</f>
        <v/>
      </c>
      <c r="O50">
        <f>IF(M50="","",TEXT(M50,"mmm"))</f>
        <v/>
      </c>
      <c r="P50">
        <f>IF(M50="","",TEXT(M50,"mmm/yyyy"))</f>
        <v/>
      </c>
      <c r="Q50">
        <f>IF(F50="","",IF(F50&lt;75000,"Até US$ 75 mil",IF(F50&lt;100000,"US$ 75–100 mil",IF(F50&lt;150000,"US$ 100–150 mil","Acima de US$ 150 mil"))))</f>
        <v/>
      </c>
    </row>
    <row r="51">
      <c r="A51" t="n">
        <v>55</v>
      </c>
      <c r="B51" t="inlineStr">
        <is>
          <t>2026-03-01</t>
        </is>
      </c>
      <c r="C51" t="inlineStr">
        <is>
          <t>Madison Powell</t>
        </is>
      </c>
      <c r="D51" t="inlineStr">
        <is>
          <t>Macan Electric</t>
        </is>
      </c>
      <c r="E51" t="n">
        <v>2025</v>
      </c>
      <c r="F51" s="13" t="n">
        <v>89700</v>
      </c>
      <c r="G51" s="16" t="n">
        <v>0</v>
      </c>
      <c r="H51" t="inlineStr">
        <is>
          <t>Lease</t>
        </is>
      </c>
      <c r="I51" t="inlineStr">
        <is>
          <t>New Orleans</t>
        </is>
      </c>
      <c r="J51" t="inlineStr">
        <is>
          <t>LA</t>
        </is>
      </c>
      <c r="K51" t="inlineStr">
        <is>
          <t>Steve Ross</t>
        </is>
      </c>
      <c r="L51" t="inlineStr">
        <is>
          <t>Delivered</t>
        </is>
      </c>
      <c r="M51" s="17">
        <f>IFERROR(DATEVALUE(B51),"")</f>
        <v/>
      </c>
      <c r="N51">
        <f>IF(M51="","",YEAR(M51))</f>
        <v/>
      </c>
      <c r="O51">
        <f>IF(M51="","",TEXT(M51,"mmm"))</f>
        <v/>
      </c>
      <c r="P51">
        <f>IF(M51="","",TEXT(M51,"mmm/yyyy"))</f>
        <v/>
      </c>
      <c r="Q51">
        <f>IF(F51="","",IF(F51&lt;75000,"Até US$ 75 mil",IF(F51&lt;100000,"US$ 75–100 mil",IF(F51&lt;150000,"US$ 100–150 mil","Acima de US$ 150 mil"))))</f>
        <v/>
      </c>
    </row>
    <row r="52">
      <c r="A52" t="n">
        <v>56</v>
      </c>
      <c r="B52" t="inlineStr">
        <is>
          <t>2026-03-14</t>
        </is>
      </c>
      <c r="C52" t="inlineStr">
        <is>
          <t>Adrian Sanders</t>
        </is>
      </c>
      <c r="D52" t="inlineStr">
        <is>
          <t>911 Carrera S</t>
        </is>
      </c>
      <c r="E52" t="n">
        <v>2022</v>
      </c>
      <c r="F52" s="13" t="n">
        <v>104600</v>
      </c>
      <c r="G52" s="16" t="n">
        <v>15900</v>
      </c>
      <c r="H52" t="inlineStr">
        <is>
          <t>Bank Transfer</t>
        </is>
      </c>
      <c r="I52" t="inlineStr">
        <is>
          <t>Honolulu</t>
        </is>
      </c>
      <c r="J52" t="inlineStr">
        <is>
          <t>HI</t>
        </is>
      </c>
      <c r="K52" t="inlineStr">
        <is>
          <t>Olivia Cruz</t>
        </is>
      </c>
      <c r="L52" t="inlineStr">
        <is>
          <t>Cancelled</t>
        </is>
      </c>
      <c r="M52" s="17">
        <f>IFERROR(DATEVALUE(B52),"")</f>
        <v/>
      </c>
      <c r="N52">
        <f>IF(M52="","",YEAR(M52))</f>
        <v/>
      </c>
      <c r="O52">
        <f>IF(M52="","",TEXT(M52,"mmm"))</f>
        <v/>
      </c>
      <c r="P52">
        <f>IF(M52="","",TEXT(M52,"mmm/yyyy"))</f>
        <v/>
      </c>
      <c r="Q52">
        <f>IF(F52="","",IF(F52&lt;75000,"Até US$ 75 mil",IF(F52&lt;100000,"US$ 75–100 mil",IF(F52&lt;150000,"US$ 100–150 mil","Acima de US$ 150 mil"))))</f>
        <v/>
      </c>
    </row>
    <row r="53">
      <c r="A53" t="n">
        <v>57</v>
      </c>
      <c r="B53" t="inlineStr">
        <is>
          <t>INVALID</t>
        </is>
      </c>
      <c r="C53" t="inlineStr">
        <is>
          <t>Penelope Barnes</t>
        </is>
      </c>
      <c r="D53" t="inlineStr">
        <is>
          <t>Taycan GTS</t>
        </is>
      </c>
      <c r="E53" t="n">
        <v>2024</v>
      </c>
      <c r="F53" s="13" t="n">
        <v>142000</v>
      </c>
      <c r="G53" s="16" t="n">
        <v>6600</v>
      </c>
      <c r="H53" t="inlineStr">
        <is>
          <t>Wire Transfer</t>
        </is>
      </c>
      <c r="I53" t="inlineStr">
        <is>
          <t>Anaheim</t>
        </is>
      </c>
      <c r="J53" t="inlineStr">
        <is>
          <t>CA</t>
        </is>
      </c>
      <c r="K53" t="inlineStr">
        <is>
          <t>Patrick Wood</t>
        </is>
      </c>
      <c r="L53" t="inlineStr">
        <is>
          <t>Delivered</t>
        </is>
      </c>
      <c r="M53" s="17">
        <f>IFERROR(DATEVALUE(B53),"")</f>
        <v/>
      </c>
      <c r="N53">
        <f>IF(M53="","",YEAR(M53))</f>
        <v/>
      </c>
      <c r="O53">
        <f>IF(M53="","",TEXT(M53,"mmm"))</f>
        <v/>
      </c>
      <c r="P53">
        <f>IF(M53="","",TEXT(M53,"mmm/yyyy"))</f>
        <v/>
      </c>
      <c r="Q53">
        <f>IF(F53="","",IF(F53&lt;75000,"Até US$ 75 mil",IF(F53&lt;100000,"US$ 75–100 mil",IF(F53&lt;150000,"US$ 100–150 mil","Acima de US$ 150 mil"))))</f>
        <v/>
      </c>
    </row>
    <row r="54">
      <c r="A54" t="n">
        <v>58</v>
      </c>
      <c r="B54" t="inlineStr">
        <is>
          <t>2026-04-08</t>
        </is>
      </c>
      <c r="C54" t="inlineStr">
        <is>
          <t>Nolan Fisher</t>
        </is>
      </c>
      <c r="D54" t="inlineStr">
        <is>
          <t>Cayenne</t>
        </is>
      </c>
      <c r="E54" t="n">
        <v>2021</v>
      </c>
      <c r="F54" s="13" t="n">
        <v>78400</v>
      </c>
      <c r="G54" s="16" t="n">
        <v>40250</v>
      </c>
      <c r="H54" t="inlineStr">
        <is>
          <t>Cash</t>
        </is>
      </c>
      <c r="I54" t="inlineStr">
        <is>
          <t>Henderson</t>
        </is>
      </c>
      <c r="J54" t="inlineStr">
        <is>
          <t>NV</t>
        </is>
      </c>
      <c r="K54" t="inlineStr">
        <is>
          <t>Karen Stone</t>
        </is>
      </c>
      <c r="L54" t="inlineStr">
        <is>
          <t>Awaiting Review</t>
        </is>
      </c>
      <c r="M54" s="17">
        <f>IFERROR(DATEVALUE(B54),"")</f>
        <v/>
      </c>
      <c r="N54">
        <f>IF(M54="","",YEAR(M54))</f>
        <v/>
      </c>
      <c r="O54">
        <f>IF(M54="","",TEXT(M54,"mmm"))</f>
        <v/>
      </c>
      <c r="P54">
        <f>IF(M54="","",TEXT(M54,"mmm/yyyy"))</f>
        <v/>
      </c>
      <c r="Q54">
        <f>IF(F54="","",IF(F54&lt;75000,"Até US$ 75 mil",IF(F54&lt;100000,"US$ 75–100 mil",IF(F54&lt;150000,"US$ 100–150 mil","Acima de US$ 150 mil"))))</f>
        <v/>
      </c>
    </row>
    <row r="55">
      <c r="A55" t="n">
        <v>59</v>
      </c>
      <c r="B55" t="inlineStr">
        <is>
          <t>INVALID</t>
        </is>
      </c>
      <c r="C55" t="inlineStr">
        <is>
          <t>Layla Marshall</t>
        </is>
      </c>
      <c r="D55" t="inlineStr">
        <is>
          <t>718 Spyder RS</t>
        </is>
      </c>
      <c r="E55" t="n">
        <v>2025</v>
      </c>
      <c r="F55" s="13" t="n">
        <v>169000</v>
      </c>
      <c r="G55" s="16" t="n">
        <v>850</v>
      </c>
      <c r="H55" t="inlineStr">
        <is>
          <t>Financing</t>
        </is>
      </c>
      <c r="I55" t="inlineStr">
        <is>
          <t>Lexington</t>
        </is>
      </c>
      <c r="J55" t="inlineStr">
        <is>
          <t>KY</t>
        </is>
      </c>
      <c r="K55" t="inlineStr">
        <is>
          <t>justin fox</t>
        </is>
      </c>
      <c r="L55" t="inlineStr">
        <is>
          <t>In Transit</t>
        </is>
      </c>
      <c r="M55" s="17">
        <f>IFERROR(DATEVALUE(B55),"")</f>
        <v/>
      </c>
      <c r="N55">
        <f>IF(M55="","",YEAR(M55))</f>
        <v/>
      </c>
      <c r="O55">
        <f>IF(M55="","",TEXT(M55,"mmm"))</f>
        <v/>
      </c>
      <c r="P55">
        <f>IF(M55="","",TEXT(M55,"mmm/yyyy"))</f>
        <v/>
      </c>
      <c r="Q55">
        <f>IF(F55="","",IF(F55&lt;75000,"Até US$ 75 mil",IF(F55&lt;100000,"US$ 75–100 mil",IF(F55&lt;150000,"US$ 100–150 mil","Acima de US$ 150 mil"))))</f>
        <v/>
      </c>
    </row>
    <row r="56">
      <c r="A56" t="n">
        <v>60</v>
      </c>
      <c r="B56" t="inlineStr">
        <is>
          <t>2026-04-21</t>
        </is>
      </c>
      <c r="C56" t="inlineStr">
        <is>
          <t>Gabriel Owens</t>
        </is>
      </c>
      <c r="D56" t="inlineStr">
        <is>
          <t>911 Dakar</t>
        </is>
      </c>
      <c r="E56" t="n">
        <v>2024</v>
      </c>
      <c r="F56" s="13" t="n">
        <v>268900</v>
      </c>
      <c r="G56" s="16" t="n">
        <v>1400</v>
      </c>
      <c r="H56" t="inlineStr">
        <is>
          <t>Credit Card</t>
        </is>
      </c>
      <c r="I56" t="inlineStr">
        <is>
          <t>Riverside</t>
        </is>
      </c>
      <c r="J56" t="inlineStr">
        <is>
          <t>CA</t>
        </is>
      </c>
      <c r="K56" t="inlineStr">
        <is>
          <t>Betty James</t>
        </is>
      </c>
      <c r="L56" t="inlineStr">
        <is>
          <t>Delivered</t>
        </is>
      </c>
      <c r="M56" s="17">
        <f>IFERROR(DATEVALUE(B56),"")</f>
        <v/>
      </c>
      <c r="N56">
        <f>IF(M56="","",YEAR(M56))</f>
        <v/>
      </c>
      <c r="O56">
        <f>IF(M56="","",TEXT(M56,"mmm"))</f>
        <v/>
      </c>
      <c r="P56">
        <f>IF(M56="","",TEXT(M56,"mmm/yyyy"))</f>
        <v/>
      </c>
      <c r="Q56">
        <f>IF(F56="","",IF(F56&lt;75000,"Até US$ 75 mil",IF(F56&lt;100000,"US$ 75–100 mil",IF(F56&lt;150000,"US$ 100–150 mil","Acima de US$ 150 mil"))))</f>
        <v/>
      </c>
    </row>
    <row r="57">
      <c r="A57" t="n">
        <v>61</v>
      </c>
      <c r="B57" t="inlineStr">
        <is>
          <t>2026-04-29</t>
        </is>
      </c>
      <c r="C57" t="inlineStr">
        <is>
          <t>Victoria Hart</t>
        </is>
      </c>
      <c r="D57" t="inlineStr">
        <is>
          <t>Panamera 4</t>
        </is>
      </c>
      <c r="E57" t="n">
        <v>2023</v>
      </c>
      <c r="F57" s="13" t="n">
        <v>101300</v>
      </c>
      <c r="G57" s="16" t="n">
        <v>12700</v>
      </c>
      <c r="H57" t="inlineStr">
        <is>
          <t>Wire Transfer</t>
        </is>
      </c>
      <c r="I57" t="inlineStr">
        <is>
          <t>Corpus Christi</t>
        </is>
      </c>
      <c r="J57" t="inlineStr">
        <is>
          <t>TX</t>
        </is>
      </c>
      <c r="K57" t="inlineStr">
        <is>
          <t>Gary Price</t>
        </is>
      </c>
      <c r="L57" t="inlineStr">
        <is>
          <t>Pending</t>
        </is>
      </c>
      <c r="M57" s="17">
        <f>IFERROR(DATEVALUE(B57),"")</f>
        <v/>
      </c>
      <c r="N57">
        <f>IF(M57="","",YEAR(M57))</f>
        <v/>
      </c>
      <c r="O57">
        <f>IF(M57="","",TEXT(M57,"mmm"))</f>
        <v/>
      </c>
      <c r="P57">
        <f>IF(M57="","",TEXT(M57,"mmm/yyyy"))</f>
        <v/>
      </c>
      <c r="Q57">
        <f>IF(F57="","",IF(F57&lt;75000,"Até US$ 75 mil",IF(F57&lt;100000,"US$ 75–100 mil",IF(F57&lt;150000,"US$ 100–150 mil","Acima de US$ 150 mil"))))</f>
        <v/>
      </c>
    </row>
    <row r="58">
      <c r="A58" t="n">
        <v>62</v>
      </c>
      <c r="B58" t="inlineStr">
        <is>
          <t>2026-05-05</t>
        </is>
      </c>
      <c r="C58" t="inlineStr">
        <is>
          <t>Julian Stone</t>
        </is>
      </c>
      <c r="D58" t="inlineStr">
        <is>
          <t>Macan S</t>
        </is>
      </c>
      <c r="E58" t="n">
        <v>2021</v>
      </c>
      <c r="F58" s="13" t="n">
        <v>66750</v>
      </c>
      <c r="G58" s="16" t="n">
        <v>29800</v>
      </c>
      <c r="H58" t="inlineStr">
        <is>
          <t>Cash</t>
        </is>
      </c>
      <c r="I58" t="inlineStr">
        <is>
          <t>St. Louis</t>
        </is>
      </c>
      <c r="J58" t="inlineStr">
        <is>
          <t>MO</t>
        </is>
      </c>
      <c r="K58" t="inlineStr">
        <is>
          <t>maria green</t>
        </is>
      </c>
      <c r="L58" t="inlineStr">
        <is>
          <t>Delivered</t>
        </is>
      </c>
      <c r="M58" s="17">
        <f>IFERROR(DATEVALUE(B58),"")</f>
        <v/>
      </c>
      <c r="N58">
        <f>IF(M58="","",YEAR(M58))</f>
        <v/>
      </c>
      <c r="O58">
        <f>IF(M58="","",TEXT(M58,"mmm"))</f>
        <v/>
      </c>
      <c r="P58">
        <f>IF(M58="","",TEXT(M58,"mmm/yyyy"))</f>
        <v/>
      </c>
      <c r="Q58">
        <f>IF(F58="","",IF(F58&lt;75000,"Até US$ 75 mil",IF(F58&lt;100000,"US$ 75–100 mil",IF(F58&lt;150000,"US$ 100–150 mil","Acima de US$ 150 mil"))))</f>
        <v/>
      </c>
    </row>
    <row r="59">
      <c r="A59" t="n">
        <v>63</v>
      </c>
      <c r="B59" t="inlineStr">
        <is>
          <t>2026-05-14</t>
        </is>
      </c>
      <c r="C59" t="inlineStr">
        <is>
          <t>Brooklyn Webb</t>
        </is>
      </c>
      <c r="D59" t="inlineStr">
        <is>
          <t>Taycan Cross Turismo</t>
        </is>
      </c>
      <c r="E59" t="n">
        <v>2024</v>
      </c>
      <c r="F59" s="13" t="n">
        <v>127900</v>
      </c>
      <c r="G59" s="16" t="n">
        <v>7500</v>
      </c>
      <c r="H59" t="inlineStr">
        <is>
          <t>Lease</t>
        </is>
      </c>
      <c r="I59" t="inlineStr">
        <is>
          <t>Pittsburgh</t>
        </is>
      </c>
      <c r="J59" t="inlineStr">
        <is>
          <t>PA</t>
        </is>
      </c>
      <c r="K59" t="inlineStr">
        <is>
          <t>Harold Young</t>
        </is>
      </c>
      <c r="L59" t="inlineStr">
        <is>
          <t>In Transit</t>
        </is>
      </c>
      <c r="M59" s="17">
        <f>IFERROR(DATEVALUE(B59),"")</f>
        <v/>
      </c>
      <c r="N59">
        <f>IF(M59="","",YEAR(M59))</f>
        <v/>
      </c>
      <c r="O59">
        <f>IF(M59="","",TEXT(M59,"mmm"))</f>
        <v/>
      </c>
      <c r="P59">
        <f>IF(M59="","",TEXT(M59,"mmm/yyyy"))</f>
        <v/>
      </c>
      <c r="Q59">
        <f>IF(F59="","",IF(F59&lt;75000,"Até US$ 75 mil",IF(F59&lt;100000,"US$ 75–100 mil",IF(F59&lt;150000,"US$ 100–150 mil","Acima de US$ 150 mil"))))</f>
        <v/>
      </c>
    </row>
    <row r="60">
      <c r="A60" t="n">
        <v>64</v>
      </c>
      <c r="B60" t="inlineStr">
        <is>
          <t>2026-05-23</t>
        </is>
      </c>
      <c r="C60" t="inlineStr">
        <is>
          <t>Aaron Kim</t>
        </is>
      </c>
      <c r="D60" t="inlineStr">
        <is>
          <t>Cayenne Turbo GT</t>
        </is>
      </c>
      <c r="E60" t="n">
        <v>2025</v>
      </c>
      <c r="F60" s="13" t="n">
        <v>200000</v>
      </c>
      <c r="G60" s="16" t="n">
        <v>1950</v>
      </c>
      <c r="H60" t="inlineStr">
        <is>
          <t>Wire Transfer</t>
        </is>
      </c>
      <c r="I60" t="inlineStr">
        <is>
          <t>Cincinnati</t>
        </is>
      </c>
      <c r="J60" t="inlineStr">
        <is>
          <t>OH</t>
        </is>
      </c>
      <c r="K60" t="inlineStr">
        <is>
          <t>Teresa Ward</t>
        </is>
      </c>
      <c r="L60" t="inlineStr">
        <is>
          <t>Delivered</t>
        </is>
      </c>
      <c r="M60" s="17">
        <f>IFERROR(DATEVALUE(B60),"")</f>
        <v/>
      </c>
      <c r="N60">
        <f>IF(M60="","",YEAR(M60))</f>
        <v/>
      </c>
      <c r="O60">
        <f>IF(M60="","",TEXT(M60,"mmm"))</f>
        <v/>
      </c>
      <c r="P60">
        <f>IF(M60="","",TEXT(M60,"mmm/yyyy"))</f>
        <v/>
      </c>
      <c r="Q60">
        <f>IF(F60="","",IF(F60&lt;75000,"Até US$ 75 mil",IF(F60&lt;100000,"US$ 75–100 mil",IF(F60&lt;150000,"US$ 100–150 mil","Acima de US$ 150 mil"))))</f>
        <v/>
      </c>
    </row>
    <row r="61">
      <c r="A61" t="n">
        <v>65</v>
      </c>
      <c r="B61" t="inlineStr">
        <is>
          <t>2026-06-02</t>
        </is>
      </c>
      <c r="C61" t="inlineStr">
        <is>
          <t>Claire Watson</t>
        </is>
      </c>
      <c r="D61" t="inlineStr">
        <is>
          <t>911 Carrera Cabriolet</t>
        </is>
      </c>
      <c r="E61" t="n">
        <v>2023</v>
      </c>
      <c r="F61" s="13" t="n">
        <v>132000</v>
      </c>
      <c r="G61" s="16" t="n">
        <v>8800</v>
      </c>
      <c r="H61" t="inlineStr">
        <is>
          <t>Crypto Payment</t>
        </is>
      </c>
      <c r="I61" t="inlineStr">
        <is>
          <t>Anchorage</t>
        </is>
      </c>
      <c r="J61" t="inlineStr">
        <is>
          <t>AK</t>
        </is>
      </c>
      <c r="K61" t="inlineStr">
        <is>
          <t>Frank Reed</t>
        </is>
      </c>
      <c r="L61" t="inlineStr">
        <is>
          <t>Pending Review</t>
        </is>
      </c>
      <c r="M61" s="17">
        <f>IFERROR(DATEVALUE(B61),"")</f>
        <v/>
      </c>
      <c r="N61">
        <f>IF(M61="","",YEAR(M61))</f>
        <v/>
      </c>
      <c r="O61">
        <f>IF(M61="","",TEXT(M61,"mmm"))</f>
        <v/>
      </c>
      <c r="P61">
        <f>IF(M61="","",TEXT(M61,"mmm/yyyy"))</f>
        <v/>
      </c>
      <c r="Q61">
        <f>IF(F61="","",IF(F61&lt;75000,"Até US$ 75 mil",IF(F61&lt;100000,"US$ 75–100 mil",IF(F61&lt;150000,"US$ 100–150 mil","Acima de US$ 150 mil"))))</f>
        <v/>
      </c>
    </row>
    <row r="62">
      <c r="A62" t="n">
        <v>66</v>
      </c>
      <c r="B62" t="inlineStr">
        <is>
          <t>2026-06-15</t>
        </is>
      </c>
      <c r="C62" t="inlineStr">
        <is>
          <t>Sebastian Brooks</t>
        </is>
      </c>
      <c r="D62" t="inlineStr">
        <is>
          <t>718 Cayman GT4 RS</t>
        </is>
      </c>
      <c r="E62" t="n">
        <v>2024</v>
      </c>
      <c r="F62" s="13" t="n">
        <v>176400</v>
      </c>
      <c r="G62" s="16" t="n">
        <v>600</v>
      </c>
      <c r="H62" t="inlineStr">
        <is>
          <t>Credit Card</t>
        </is>
      </c>
      <c r="I62" t="inlineStr">
        <is>
          <t>Plano</t>
        </is>
      </c>
      <c r="J62" t="inlineStr">
        <is>
          <t>TX</t>
        </is>
      </c>
      <c r="K62" t="inlineStr">
        <is>
          <t>Angela Moore</t>
        </is>
      </c>
      <c r="L62" t="inlineStr">
        <is>
          <t>Delivered</t>
        </is>
      </c>
      <c r="M62" s="17">
        <f>IFERROR(DATEVALUE(B62),"")</f>
        <v/>
      </c>
      <c r="N62">
        <f>IF(M62="","",YEAR(M62))</f>
        <v/>
      </c>
      <c r="O62">
        <f>IF(M62="","",TEXT(M62,"mmm"))</f>
        <v/>
      </c>
      <c r="P62">
        <f>IF(M62="","",TEXT(M62,"mmm/yyyy"))</f>
        <v/>
      </c>
      <c r="Q62">
        <f>IF(F62="","",IF(F62&lt;75000,"Até US$ 75 mil",IF(F62&lt;100000,"US$ 75–100 mil",IF(F62&lt;150000,"US$ 100–150 mil","Acima de US$ 150 mil"))))</f>
        <v/>
      </c>
    </row>
    <row r="63">
      <c r="A63" t="n">
        <v>67</v>
      </c>
      <c r="B63" t="inlineStr">
        <is>
          <t>INVALID</t>
        </is>
      </c>
      <c r="C63" t="inlineStr">
        <is>
          <t>Bella Ramirez</t>
        </is>
      </c>
      <c r="D63" t="inlineStr">
        <is>
          <t>Panamera 4 E-Hybrid</t>
        </is>
      </c>
      <c r="E63" t="n">
        <v>2022</v>
      </c>
      <c r="F63" s="13" t="n">
        <v>108500</v>
      </c>
      <c r="G63" s="16" t="n">
        <v>16200</v>
      </c>
      <c r="H63" t="inlineStr">
        <is>
          <t>Bank Transfer</t>
        </is>
      </c>
      <c r="I63" t="inlineStr">
        <is>
          <t>Newark</t>
        </is>
      </c>
      <c r="J63" t="inlineStr">
        <is>
          <t>NJ</t>
        </is>
      </c>
      <c r="K63" t="inlineStr">
        <is>
          <t>rachel west</t>
        </is>
      </c>
      <c r="L63" t="inlineStr">
        <is>
          <t>Cancelled</t>
        </is>
      </c>
      <c r="M63" s="17">
        <f>IFERROR(DATEVALUE(B63),"")</f>
        <v/>
      </c>
      <c r="N63">
        <f>IF(M63="","",YEAR(M63))</f>
        <v/>
      </c>
      <c r="O63">
        <f>IF(M63="","",TEXT(M63,"mmm"))</f>
        <v/>
      </c>
      <c r="P63">
        <f>IF(M63="","",TEXT(M63,"mmm/yyyy"))</f>
        <v/>
      </c>
      <c r="Q63">
        <f>IF(F63="","",IF(F63&lt;75000,"Até US$ 75 mil",IF(F63&lt;100000,"US$ 75–100 mil",IF(F63&lt;150000,"US$ 100–150 mil","Acima de US$ 150 mil"))))</f>
        <v/>
      </c>
    </row>
    <row r="64">
      <c r="A64" t="n">
        <v>68</v>
      </c>
      <c r="B64" t="inlineStr">
        <is>
          <t>2026-07-07</t>
        </is>
      </c>
      <c r="C64" t="inlineStr">
        <is>
          <t>Miles Peterson</t>
        </is>
      </c>
      <c r="D64" t="inlineStr">
        <is>
          <t>Macan</t>
        </is>
      </c>
      <c r="E64" t="n">
        <v>2021</v>
      </c>
      <c r="F64" s="13" t="n">
        <v>59000</v>
      </c>
      <c r="G64" s="16" t="n">
        <v>36000</v>
      </c>
      <c r="H64" t="inlineStr">
        <is>
          <t>Financing</t>
        </is>
      </c>
      <c r="I64" t="inlineStr">
        <is>
          <t>Greensboro</t>
        </is>
      </c>
      <c r="J64" t="inlineStr">
        <is>
          <t>NC</t>
        </is>
      </c>
      <c r="K64" t="inlineStr">
        <is>
          <t>Thomas Fox</t>
        </is>
      </c>
      <c r="L64" t="inlineStr">
        <is>
          <t>Awaiting Delivery</t>
        </is>
      </c>
      <c r="M64" s="17">
        <f>IFERROR(DATEVALUE(B64),"")</f>
        <v/>
      </c>
      <c r="N64">
        <f>IF(M64="","",YEAR(M64))</f>
        <v/>
      </c>
      <c r="O64">
        <f>IF(M64="","",TEXT(M64,"mmm"))</f>
        <v/>
      </c>
      <c r="P64">
        <f>IF(M64="","",TEXT(M64,"mmm/yyyy"))</f>
        <v/>
      </c>
      <c r="Q64">
        <f>IF(F64="","",IF(F64&lt;75000,"Até US$ 75 mil",IF(F64&lt;100000,"US$ 75–100 mil",IF(F64&lt;150000,"US$ 100–150 mil","Acima de US$ 150 mil"))))</f>
        <v/>
      </c>
    </row>
    <row r="65">
      <c r="A65" t="n">
        <v>69</v>
      </c>
      <c r="B65" t="inlineStr">
        <is>
          <t>2026-07-20</t>
        </is>
      </c>
      <c r="C65" t="inlineStr">
        <is>
          <t>Skylar Rogers</t>
        </is>
      </c>
      <c r="D65" t="inlineStr">
        <is>
          <t>Taycan Turbo S</t>
        </is>
      </c>
      <c r="E65" t="n">
        <v>2025</v>
      </c>
      <c r="F65" s="13" t="n">
        <v>218000</v>
      </c>
      <c r="G65" s="16" t="n">
        <v>0</v>
      </c>
      <c r="H65" t="inlineStr">
        <is>
          <t>Wire Transfer</t>
        </is>
      </c>
      <c r="I65" t="inlineStr">
        <is>
          <t>Lincoln</t>
        </is>
      </c>
      <c r="J65" t="inlineStr">
        <is>
          <t>NE</t>
        </is>
      </c>
      <c r="K65" t="inlineStr">
        <is>
          <t>LISA Dunn</t>
        </is>
      </c>
      <c r="L65" t="inlineStr">
        <is>
          <t>Pending</t>
        </is>
      </c>
      <c r="M65" s="17">
        <f>IFERROR(DATEVALUE(B65),"")</f>
        <v/>
      </c>
      <c r="N65">
        <f>IF(M65="","",YEAR(M65))</f>
        <v/>
      </c>
      <c r="O65">
        <f>IF(M65="","",TEXT(M65,"mmm"))</f>
        <v/>
      </c>
      <c r="P65">
        <f>IF(M65="","",TEXT(M65,"mmm/yyyy"))</f>
        <v/>
      </c>
      <c r="Q65">
        <f>IF(F65="","",IF(F65&lt;75000,"Até US$ 75 mil",IF(F65&lt;100000,"US$ 75–100 mil",IF(F65&lt;150000,"US$ 100–150 mil","Acima de US$ 150 mil"))))</f>
        <v/>
      </c>
    </row>
    <row r="66">
      <c r="A66" t="n">
        <v>70</v>
      </c>
      <c r="B66" t="inlineStr">
        <is>
          <t>INVALID</t>
        </is>
      </c>
      <c r="C66" t="inlineStr">
        <is>
          <t>Dominic Kelly</t>
        </is>
      </c>
      <c r="D66" t="inlineStr">
        <is>
          <t>Cayenne S</t>
        </is>
      </c>
      <c r="E66" t="n">
        <v>2024</v>
      </c>
      <c r="F66" s="13" t="n">
        <v>99950</v>
      </c>
      <c r="G66" s="16" t="n">
        <v>5300</v>
      </c>
      <c r="H66" t="inlineStr">
        <is>
          <t>Debit Card</t>
        </is>
      </c>
      <c r="I66" t="inlineStr">
        <is>
          <t>Jersey City</t>
        </is>
      </c>
      <c r="J66" t="inlineStr">
        <is>
          <t>NJ</t>
        </is>
      </c>
      <c r="K66" t="inlineStr">
        <is>
          <t>Brian Allen</t>
        </is>
      </c>
      <c r="L66" t="inlineStr">
        <is>
          <t>Delivered</t>
        </is>
      </c>
      <c r="M66" s="17">
        <f>IFERROR(DATEVALUE(B66),"")</f>
        <v/>
      </c>
      <c r="N66">
        <f>IF(M66="","",YEAR(M66))</f>
        <v/>
      </c>
      <c r="O66">
        <f>IF(M66="","",TEXT(M66,"mmm"))</f>
        <v/>
      </c>
      <c r="P66">
        <f>IF(M66="","",TEXT(M66,"mmm/yyyy"))</f>
        <v/>
      </c>
      <c r="Q66">
        <f>IF(F66="","",IF(F66&lt;75000,"Até US$ 75 mil",IF(F66&lt;100000,"US$ 75–100 mil",IF(F66&lt;150000,"US$ 100–150 mil","Acima de US$ 150 mil"))))</f>
        <v/>
      </c>
    </row>
    <row r="67">
      <c r="A67" t="n">
        <v>71</v>
      </c>
      <c r="B67" t="inlineStr">
        <is>
          <t>2026-04-08</t>
        </is>
      </c>
      <c r="C67" t="inlineStr">
        <is>
          <t>Lucy Howard</t>
        </is>
      </c>
      <c r="D67" t="inlineStr">
        <is>
          <t>911 Carrera GTS</t>
        </is>
      </c>
      <c r="E67" t="n">
        <v>2024</v>
      </c>
      <c r="F67" s="13" t="n">
        <v>121750</v>
      </c>
      <c r="G67" s="16" t="n">
        <v>5872</v>
      </c>
      <c r="H67" t="inlineStr">
        <is>
          <t>Credit Card</t>
        </is>
      </c>
      <c r="I67" t="inlineStr">
        <is>
          <t>Chandler</t>
        </is>
      </c>
      <c r="J67" t="inlineStr">
        <is>
          <t>AZ</t>
        </is>
      </c>
      <c r="K67" t="inlineStr">
        <is>
          <t>George Hall</t>
        </is>
      </c>
      <c r="L67" t="inlineStr">
        <is>
          <t>Delivered</t>
        </is>
      </c>
      <c r="M67" s="17">
        <f>IFERROR(DATEVALUE(B67),"")</f>
        <v/>
      </c>
      <c r="N67">
        <f>IF(M67="","",YEAR(M67))</f>
        <v/>
      </c>
      <c r="O67">
        <f>IF(M67="","",TEXT(M67,"mmm"))</f>
        <v/>
      </c>
      <c r="P67">
        <f>IF(M67="","",TEXT(M67,"mmm/yyyy"))</f>
        <v/>
      </c>
      <c r="Q67">
        <f>IF(F67="","",IF(F67&lt;75000,"Até US$ 75 mil",IF(F67&lt;100000,"US$ 75–100 mil",IF(F67&lt;150000,"US$ 100–150 mil","Acima de US$ 150 mil"))))</f>
        <v/>
      </c>
    </row>
    <row r="68">
      <c r="A68" t="n">
        <v>72</v>
      </c>
      <c r="B68" t="inlineStr">
        <is>
          <t>2026-08-18</t>
        </is>
      </c>
      <c r="C68" t="inlineStr">
        <is>
          <t>Everett Cox</t>
        </is>
      </c>
      <c r="D68" t="inlineStr">
        <is>
          <t>718 Boxster GTS</t>
        </is>
      </c>
      <c r="E68" t="n">
        <v>2023</v>
      </c>
      <c r="F68" s="13" t="n">
        <v>91500</v>
      </c>
      <c r="G68" s="16" t="n">
        <v>13300</v>
      </c>
      <c r="H68" t="inlineStr">
        <is>
          <t>Lease</t>
        </is>
      </c>
      <c r="I68" t="inlineStr">
        <is>
          <t>Reno</t>
        </is>
      </c>
      <c r="J68" t="inlineStr">
        <is>
          <t>NV</t>
        </is>
      </c>
      <c r="K68" t="inlineStr">
        <is>
          <t>Helen King</t>
        </is>
      </c>
      <c r="L68" t="inlineStr">
        <is>
          <t>Shipped</t>
        </is>
      </c>
      <c r="M68" s="17">
        <f>IFERROR(DATEVALUE(B68),"")</f>
        <v/>
      </c>
      <c r="N68">
        <f>IF(M68="","",YEAR(M68))</f>
        <v/>
      </c>
      <c r="O68">
        <f>IF(M68="","",TEXT(M68,"mmm"))</f>
        <v/>
      </c>
      <c r="P68">
        <f>IF(M68="","",TEXT(M68,"mmm/yyyy"))</f>
        <v/>
      </c>
      <c r="Q68">
        <f>IF(F68="","",IF(F68&lt;75000,"Até US$ 75 mil",IF(F68&lt;100000,"US$ 75–100 mil",IF(F68&lt;150000,"US$ 100–150 mil","Acima de US$ 150 mil"))))</f>
        <v/>
      </c>
    </row>
    <row r="69">
      <c r="A69" t="n">
        <v>73</v>
      </c>
      <c r="B69" t="inlineStr">
        <is>
          <t>2026-08-31</t>
        </is>
      </c>
      <c r="C69" t="inlineStr">
        <is>
          <t>Maya Rivera</t>
        </is>
      </c>
      <c r="D69" t="inlineStr">
        <is>
          <t>Panamera Turbo S</t>
        </is>
      </c>
      <c r="E69" t="n">
        <v>2022</v>
      </c>
      <c r="F69" s="13" t="n">
        <v>134000</v>
      </c>
      <c r="G69" s="16" t="n">
        <v>20100</v>
      </c>
      <c r="H69" t="inlineStr">
        <is>
          <t>Wire Transfer</t>
        </is>
      </c>
      <c r="I69" t="inlineStr">
        <is>
          <t>Buffalo</t>
        </is>
      </c>
      <c r="J69" t="inlineStr">
        <is>
          <t>NY</t>
        </is>
      </c>
      <c r="K69" t="inlineStr">
        <is>
          <t>samuel price</t>
        </is>
      </c>
      <c r="L69" t="inlineStr">
        <is>
          <t>In Transit</t>
        </is>
      </c>
      <c r="M69" s="17">
        <f>IFERROR(DATEVALUE(B69),"")</f>
        <v/>
      </c>
      <c r="N69">
        <f>IF(M69="","",YEAR(M69))</f>
        <v/>
      </c>
      <c r="O69">
        <f>IF(M69="","",TEXT(M69,"mmm"))</f>
        <v/>
      </c>
      <c r="P69">
        <f>IF(M69="","",TEXT(M69,"mmm/yyyy"))</f>
        <v/>
      </c>
      <c r="Q69">
        <f>IF(F69="","",IF(F69&lt;75000,"Até US$ 75 mil",IF(F69&lt;100000,"US$ 75–100 mil",IF(F69&lt;150000,"US$ 100–150 mil","Acima de US$ 150 mil"))))</f>
        <v/>
      </c>
    </row>
    <row r="70">
      <c r="A70" t="n">
        <v>74</v>
      </c>
      <c r="B70" t="inlineStr">
        <is>
          <t>2026-09-09</t>
        </is>
      </c>
      <c r="C70" t="inlineStr">
        <is>
          <t>Connor Ward</t>
        </is>
      </c>
      <c r="D70" t="inlineStr">
        <is>
          <t>Macan GTS</t>
        </is>
      </c>
      <c r="E70" t="n">
        <v>2024</v>
      </c>
      <c r="F70" s="13" t="n">
        <v>96800</v>
      </c>
      <c r="G70" s="16" t="n">
        <v>0</v>
      </c>
      <c r="H70" t="inlineStr">
        <is>
          <t>ACH Payment</t>
        </is>
      </c>
      <c r="I70" t="inlineStr">
        <is>
          <t>Durham</t>
        </is>
      </c>
      <c r="J70" t="inlineStr">
        <is>
          <t>NC</t>
        </is>
      </c>
      <c r="K70" t="inlineStr">
        <is>
          <t>Peter Ford</t>
        </is>
      </c>
      <c r="L70" t="inlineStr">
        <is>
          <t>Delivered</t>
        </is>
      </c>
      <c r="M70" s="17">
        <f>IFERROR(DATEVALUE(B70),"")</f>
        <v/>
      </c>
      <c r="N70">
        <f>IF(M70="","",YEAR(M70))</f>
        <v/>
      </c>
      <c r="O70">
        <f>IF(M70="","",TEXT(M70,"mmm"))</f>
        <v/>
      </c>
      <c r="P70">
        <f>IF(M70="","",TEXT(M70,"mmm/yyyy"))</f>
        <v/>
      </c>
      <c r="Q70">
        <f>IF(F70="","",IF(F70&lt;75000,"Até US$ 75 mil",IF(F70&lt;100000,"US$ 75–100 mil",IF(F70&lt;150000,"US$ 100–150 mil","Acima de US$ 150 mil"))))</f>
        <v/>
      </c>
    </row>
    <row r="71">
      <c r="A71" t="n">
        <v>75</v>
      </c>
      <c r="B71" t="inlineStr">
        <is>
          <t>2026-09-17</t>
        </is>
      </c>
      <c r="C71" t="inlineStr">
        <is>
          <t>Eliana Bell</t>
        </is>
      </c>
      <c r="D71" t="inlineStr">
        <is>
          <t>Taycan 4S</t>
        </is>
      </c>
      <c r="E71" t="n">
        <v>2025</v>
      </c>
      <c r="F71" s="13" t="n">
        <v>131600</v>
      </c>
      <c r="G71" s="16" t="n">
        <v>2900</v>
      </c>
      <c r="H71" t="inlineStr">
        <is>
          <t>Wire Transfer</t>
        </is>
      </c>
      <c r="I71" t="inlineStr">
        <is>
          <t>Laredo</t>
        </is>
      </c>
      <c r="J71" t="inlineStr">
        <is>
          <t>TX</t>
        </is>
      </c>
      <c r="K71" t="inlineStr">
        <is>
          <t>Angela Green</t>
        </is>
      </c>
      <c r="L71" t="inlineStr">
        <is>
          <t>Pending Approval</t>
        </is>
      </c>
      <c r="M71" s="17">
        <f>IFERROR(DATEVALUE(B71),"")</f>
        <v/>
      </c>
      <c r="N71">
        <f>IF(M71="","",YEAR(M71))</f>
        <v/>
      </c>
      <c r="O71">
        <f>IF(M71="","",TEXT(M71,"mmm"))</f>
        <v/>
      </c>
      <c r="P71">
        <f>IF(M71="","",TEXT(M71,"mmm/yyyy"))</f>
        <v/>
      </c>
      <c r="Q71">
        <f>IF(F71="","",IF(F71&lt;75000,"Até US$ 75 mil",IF(F71&lt;100000,"US$ 75–100 mil",IF(F71&lt;150000,"US$ 100–150 mil","Acima de US$ 150 mil"))))</f>
        <v/>
      </c>
    </row>
    <row r="72">
      <c r="A72" t="n">
        <v>76</v>
      </c>
      <c r="B72" t="inlineStr">
        <is>
          <t>2026-09-28</t>
        </is>
      </c>
      <c r="C72" t="inlineStr">
        <is>
          <t>Cameron Murphy</t>
        </is>
      </c>
      <c r="D72" t="inlineStr">
        <is>
          <t>Cayenne E-Hybrid</t>
        </is>
      </c>
      <c r="E72" t="n">
        <v>2023</v>
      </c>
      <c r="F72" s="13" t="n">
        <v>94300</v>
      </c>
      <c r="G72" s="16" t="n">
        <v>13100</v>
      </c>
      <c r="H72" t="inlineStr">
        <is>
          <t>Cash</t>
        </is>
      </c>
      <c r="I72" t="inlineStr">
        <is>
          <t>Madison</t>
        </is>
      </c>
      <c r="J72" t="inlineStr">
        <is>
          <t>WI</t>
        </is>
      </c>
      <c r="K72" t="inlineStr">
        <is>
          <t>Victor Stone</t>
        </is>
      </c>
      <c r="L72" t="inlineStr">
        <is>
          <t>Delivered</t>
        </is>
      </c>
      <c r="M72" s="17">
        <f>IFERROR(DATEVALUE(B72),"")</f>
        <v/>
      </c>
      <c r="N72">
        <f>IF(M72="","",YEAR(M72))</f>
        <v/>
      </c>
      <c r="O72">
        <f>IF(M72="","",TEXT(M72,"mmm"))</f>
        <v/>
      </c>
      <c r="P72">
        <f>IF(M72="","",TEXT(M72,"mmm/yyyy"))</f>
        <v/>
      </c>
      <c r="Q72">
        <f>IF(F72="","",IF(F72&lt;75000,"Até US$ 75 mil",IF(F72&lt;100000,"US$ 75–100 mil",IF(F72&lt;150000,"US$ 100–150 mil","Acima de US$ 150 mil"))))</f>
        <v/>
      </c>
    </row>
    <row r="73">
      <c r="A73" t="n">
        <v>77</v>
      </c>
      <c r="B73" t="inlineStr">
        <is>
          <t>2026-10-06</t>
        </is>
      </c>
      <c r="C73" t="inlineStr">
        <is>
          <t>Ariana Cook</t>
        </is>
      </c>
      <c r="D73" t="inlineStr">
        <is>
          <t>911 Turbo S</t>
        </is>
      </c>
      <c r="E73" t="n">
        <v>2025</v>
      </c>
      <c r="F73" s="13" t="n">
        <v>242000</v>
      </c>
      <c r="G73" s="16" t="n">
        <v>1100</v>
      </c>
      <c r="H73" t="inlineStr">
        <is>
          <t>Crypto Payment</t>
        </is>
      </c>
      <c r="I73" t="inlineStr">
        <is>
          <t>Lubbock</t>
        </is>
      </c>
      <c r="J73" t="inlineStr">
        <is>
          <t>TX</t>
        </is>
      </c>
      <c r="K73" t="inlineStr">
        <is>
          <t>Rachel Turner</t>
        </is>
      </c>
      <c r="L73" t="inlineStr">
        <is>
          <t>Awaiting Pickup</t>
        </is>
      </c>
      <c r="M73" s="17">
        <f>IFERROR(DATEVALUE(B73),"")</f>
        <v/>
      </c>
      <c r="N73">
        <f>IF(M73="","",YEAR(M73))</f>
        <v/>
      </c>
      <c r="O73">
        <f>IF(M73="","",TEXT(M73,"mmm"))</f>
        <v/>
      </c>
      <c r="P73">
        <f>IF(M73="","",TEXT(M73,"mmm/yyyy"))</f>
        <v/>
      </c>
      <c r="Q73">
        <f>IF(F73="","",IF(F73&lt;75000,"Até US$ 75 mil",IF(F73&lt;100000,"US$ 75–100 mil",IF(F73&lt;150000,"US$ 100–150 mil","Acima de US$ 150 mil"))))</f>
        <v/>
      </c>
    </row>
    <row r="74">
      <c r="A74" t="n">
        <v>78</v>
      </c>
      <c r="B74" t="inlineStr">
        <is>
          <t>2026-10-16</t>
        </is>
      </c>
      <c r="C74" t="inlineStr">
        <is>
          <t>Wesley Morgan</t>
        </is>
      </c>
      <c r="D74" t="inlineStr">
        <is>
          <t>718 Cayman S</t>
        </is>
      </c>
      <c r="E74" t="n">
        <v>2022</v>
      </c>
      <c r="F74" s="13" t="n">
        <v>82750</v>
      </c>
      <c r="G74" s="16" t="n">
        <v>22500</v>
      </c>
      <c r="H74" t="inlineStr">
        <is>
          <t>Credit Card</t>
        </is>
      </c>
      <c r="I74" t="inlineStr">
        <is>
          <t>Toledo</t>
        </is>
      </c>
      <c r="J74" t="inlineStr">
        <is>
          <t>OH</t>
        </is>
      </c>
      <c r="K74" t="inlineStr">
        <is>
          <t>Chris Moore</t>
        </is>
      </c>
      <c r="L74" t="inlineStr">
        <is>
          <t>Cancelled</t>
        </is>
      </c>
      <c r="M74" s="17">
        <f>IFERROR(DATEVALUE(B74),"")</f>
        <v/>
      </c>
      <c r="N74">
        <f>IF(M74="","",YEAR(M74))</f>
        <v/>
      </c>
      <c r="O74">
        <f>IF(M74="","",TEXT(M74,"mmm"))</f>
        <v/>
      </c>
      <c r="P74">
        <f>IF(M74="","",TEXT(M74,"mmm/yyyy"))</f>
        <v/>
      </c>
      <c r="Q74">
        <f>IF(F74="","",IF(F74&lt;75000,"Até US$ 75 mil",IF(F74&lt;100000,"US$ 75–100 mil",IF(F74&lt;150000,"US$ 100–150 mil","Acima de US$ 150 mil"))))</f>
        <v/>
      </c>
    </row>
    <row r="75">
      <c r="A75" t="n">
        <v>79</v>
      </c>
      <c r="B75" t="inlineStr">
        <is>
          <t>2026-10-29</t>
        </is>
      </c>
      <c r="C75" t="inlineStr">
        <is>
          <t>Naomi Peterson</t>
        </is>
      </c>
      <c r="D75" t="inlineStr">
        <is>
          <t>Macan Electric</t>
        </is>
      </c>
      <c r="E75" t="n">
        <v>2026</v>
      </c>
      <c r="F75" s="13" t="n">
        <v>91300</v>
      </c>
      <c r="G75" s="16" t="n">
        <v>0</v>
      </c>
      <c r="H75" t="inlineStr">
        <is>
          <t>Wire Transfer</t>
        </is>
      </c>
      <c r="I75" t="inlineStr">
        <is>
          <t>Irvine</t>
        </is>
      </c>
      <c r="J75" t="inlineStr">
        <is>
          <t>CA</t>
        </is>
      </c>
      <c r="K75" t="inlineStr">
        <is>
          <t>LAURA Hill</t>
        </is>
      </c>
      <c r="L75" t="inlineStr">
        <is>
          <t>Delivered</t>
        </is>
      </c>
      <c r="M75" s="17">
        <f>IFERROR(DATEVALUE(B75),"")</f>
        <v/>
      </c>
      <c r="N75">
        <f>IF(M75="","",YEAR(M75))</f>
        <v/>
      </c>
      <c r="O75">
        <f>IF(M75="","",TEXT(M75,"mmm"))</f>
        <v/>
      </c>
      <c r="P75">
        <f>IF(M75="","",TEXT(M75,"mmm/yyyy"))</f>
        <v/>
      </c>
      <c r="Q75">
        <f>IF(F75="","",IF(F75&lt;75000,"Até US$ 75 mil",IF(F75&lt;100000,"US$ 75–100 mil",IF(F75&lt;150000,"US$ 100–150 mil","Acima de US$ 150 mil"))))</f>
        <v/>
      </c>
    </row>
    <row r="76">
      <c r="A76" t="n">
        <v>80</v>
      </c>
      <c r="B76" t="inlineStr">
        <is>
          <t>2026-11-03</t>
        </is>
      </c>
      <c r="C76" t="inlineStr">
        <is>
          <t>Jason Perry</t>
        </is>
      </c>
      <c r="D76" t="inlineStr">
        <is>
          <t>Panamera</t>
        </is>
      </c>
      <c r="E76" t="n">
        <v>2021</v>
      </c>
      <c r="F76" s="13" t="n">
        <v>79900</v>
      </c>
      <c r="G76" s="16" t="n">
        <v>44800</v>
      </c>
      <c r="H76" t="inlineStr">
        <is>
          <t>Financing</t>
        </is>
      </c>
      <c r="I76" t="inlineStr">
        <is>
          <t>Garland</t>
        </is>
      </c>
      <c r="J76" t="inlineStr">
        <is>
          <t>TX</t>
        </is>
      </c>
      <c r="K76" t="inlineStr">
        <is>
          <t>Martin Young</t>
        </is>
      </c>
      <c r="L76" t="inlineStr">
        <is>
          <t>Pending</t>
        </is>
      </c>
      <c r="M76" s="17">
        <f>IFERROR(DATEVALUE(B76),"")</f>
        <v/>
      </c>
      <c r="N76">
        <f>IF(M76="","",YEAR(M76))</f>
        <v/>
      </c>
      <c r="O76">
        <f>IF(M76="","",TEXT(M76,"mmm"))</f>
        <v/>
      </c>
      <c r="P76">
        <f>IF(M76="","",TEXT(M76,"mmm/yyyy"))</f>
        <v/>
      </c>
      <c r="Q76">
        <f>IF(F76="","",IF(F76&lt;75000,"Até US$ 75 mil",IF(F76&lt;100000,"US$ 75–100 mil",IF(F76&lt;150000,"US$ 100–150 mil","Acima de US$ 150 mil"))))</f>
        <v/>
      </c>
    </row>
    <row r="77">
      <c r="A77" t="n">
        <v>81</v>
      </c>
      <c r="B77" t="inlineStr">
        <is>
          <t>INVALID</t>
        </is>
      </c>
      <c r="C77" t="inlineStr">
        <is>
          <t>Riley Flores</t>
        </is>
      </c>
      <c r="D77" t="inlineStr">
        <is>
          <t>Cayenne Coupe</t>
        </is>
      </c>
      <c r="E77" t="n">
        <v>2024</v>
      </c>
      <c r="F77" s="13" t="n">
        <v>111000</v>
      </c>
      <c r="G77" s="16" t="n">
        <v>6700</v>
      </c>
      <c r="H77" t="inlineStr">
        <is>
          <t>Bank Transfer</t>
        </is>
      </c>
      <c r="I77" t="inlineStr">
        <is>
          <t>Irving</t>
        </is>
      </c>
      <c r="J77" t="inlineStr">
        <is>
          <t>TX</t>
        </is>
      </c>
      <c r="K77" t="inlineStr">
        <is>
          <t>Diana Cooper</t>
        </is>
      </c>
      <c r="L77" t="inlineStr">
        <is>
          <t>In Transit</t>
        </is>
      </c>
      <c r="M77" s="17">
        <f>IFERROR(DATEVALUE(B77),"")</f>
        <v/>
      </c>
      <c r="N77">
        <f>IF(M77="","",YEAR(M77))</f>
        <v/>
      </c>
      <c r="O77">
        <f>IF(M77="","",TEXT(M77,"mmm"))</f>
        <v/>
      </c>
      <c r="P77">
        <f>IF(M77="","",TEXT(M77,"mmm/yyyy"))</f>
        <v/>
      </c>
      <c r="Q77">
        <f>IF(F77="","",IF(F77&lt;75000,"Até US$ 75 mil",IF(F77&lt;100000,"US$ 75–100 mil",IF(F77&lt;150000,"US$ 100–150 mil","Acima de US$ 150 mil"))))</f>
        <v/>
      </c>
    </row>
    <row r="78">
      <c r="A78" t="n">
        <v>82</v>
      </c>
      <c r="B78" t="inlineStr">
        <is>
          <t>2026-12-11</t>
        </is>
      </c>
      <c r="C78" t="inlineStr">
        <is>
          <t>Hazel Long</t>
        </is>
      </c>
      <c r="D78" t="inlineStr">
        <is>
          <t>911 Targa 4S</t>
        </is>
      </c>
      <c r="E78" t="n">
        <v>2023</v>
      </c>
      <c r="F78" s="13" t="n">
        <v>156500</v>
      </c>
      <c r="G78" s="16" t="n">
        <v>4200</v>
      </c>
      <c r="H78" t="inlineStr">
        <is>
          <t>Cash</t>
        </is>
      </c>
      <c r="I78" t="inlineStr">
        <is>
          <t>Chesapeake</t>
        </is>
      </c>
      <c r="J78" t="inlineStr">
        <is>
          <t>VA</t>
        </is>
      </c>
      <c r="K78" t="inlineStr">
        <is>
          <t>Steve Gray</t>
        </is>
      </c>
      <c r="L78" t="inlineStr">
        <is>
          <t>Delivered</t>
        </is>
      </c>
      <c r="M78" s="17">
        <f>IFERROR(DATEVALUE(B78),"")</f>
        <v/>
      </c>
      <c r="N78">
        <f>IF(M78="","",YEAR(M78))</f>
        <v/>
      </c>
      <c r="O78">
        <f>IF(M78="","",TEXT(M78,"mmm"))</f>
        <v/>
      </c>
      <c r="P78">
        <f>IF(M78="","",TEXT(M78,"mmm/yyyy"))</f>
        <v/>
      </c>
      <c r="Q78">
        <f>IF(F78="","",IF(F78&lt;75000,"Até US$ 75 mil",IF(F78&lt;100000,"US$ 75–100 mil",IF(F78&lt;150000,"US$ 100–150 mil","Acima de US$ 150 mil"))))</f>
        <v/>
      </c>
    </row>
    <row r="79">
      <c r="A79" t="n">
        <v>83</v>
      </c>
      <c r="B79" t="inlineStr">
        <is>
          <t>2026-12-24</t>
        </is>
      </c>
      <c r="C79" t="inlineStr">
        <is>
          <t>Easton Bailey</t>
        </is>
      </c>
      <c r="D79" t="inlineStr">
        <is>
          <t>Taycan</t>
        </is>
      </c>
      <c r="E79" t="n">
        <v>2025</v>
      </c>
      <c r="F79" s="13" t="n">
        <v>119900</v>
      </c>
      <c r="G79" s="16" t="n">
        <v>1250</v>
      </c>
      <c r="H79" t="inlineStr">
        <is>
          <t>Lease</t>
        </is>
      </c>
      <c r="I79" t="inlineStr">
        <is>
          <t>Scottsdale</t>
        </is>
      </c>
      <c r="J79" t="inlineStr">
        <is>
          <t>AZ</t>
        </is>
      </c>
      <c r="K79" t="inlineStr">
        <is>
          <t>Olivia Ross</t>
        </is>
      </c>
      <c r="L79" t="inlineStr">
        <is>
          <t>Pending</t>
        </is>
      </c>
      <c r="M79" s="17">
        <f>IFERROR(DATEVALUE(B79),"")</f>
        <v/>
      </c>
      <c r="N79">
        <f>IF(M79="","",YEAR(M79))</f>
        <v/>
      </c>
      <c r="O79">
        <f>IF(M79="","",TEXT(M79,"mmm"))</f>
        <v/>
      </c>
      <c r="P79">
        <f>IF(M79="","",TEXT(M79,"mmm/yyyy"))</f>
        <v/>
      </c>
      <c r="Q79">
        <f>IF(F79="","",IF(F79&lt;75000,"Até US$ 75 mil",IF(F79&lt;100000,"US$ 75–100 mil",IF(F79&lt;150000,"US$ 100–150 mil","Acima de US$ 150 mil"))))</f>
        <v/>
      </c>
    </row>
    <row r="80">
      <c r="A80" t="n">
        <v>84</v>
      </c>
      <c r="B80" t="inlineStr">
        <is>
          <t>INVALID</t>
        </is>
      </c>
      <c r="C80" t="inlineStr">
        <is>
          <t>Aurora Cooper</t>
        </is>
      </c>
      <c r="D80" t="inlineStr">
        <is>
          <t>Macan T</t>
        </is>
      </c>
      <c r="E80" t="n">
        <v>2022</v>
      </c>
      <c r="F80" s="13" t="n">
        <v>73200</v>
      </c>
      <c r="G80" s="16" t="n">
        <v>18600</v>
      </c>
      <c r="H80" t="inlineStr">
        <is>
          <t>Wire Transfer</t>
        </is>
      </c>
      <c r="I80" t="inlineStr">
        <is>
          <t>Norfolk</t>
        </is>
      </c>
      <c r="J80" t="inlineStr">
        <is>
          <t>VA</t>
        </is>
      </c>
      <c r="K80" t="inlineStr">
        <is>
          <t>Patrick Wood</t>
        </is>
      </c>
      <c r="L80" t="inlineStr">
        <is>
          <t>Delivered</t>
        </is>
      </c>
      <c r="M80" s="17">
        <f>IFERROR(DATEVALUE(B80),"")</f>
        <v/>
      </c>
      <c r="N80">
        <f>IF(M80="","",YEAR(M80))</f>
        <v/>
      </c>
      <c r="O80">
        <f>IF(M80="","",TEXT(M80,"mmm"))</f>
        <v/>
      </c>
      <c r="P80">
        <f>IF(M80="","",TEXT(M80,"mmm/yyyy"))</f>
        <v/>
      </c>
      <c r="Q80">
        <f>IF(F80="","",IF(F80&lt;75000,"Até US$ 75 mil",IF(F80&lt;100000,"US$ 75–100 mil",IF(F80&lt;150000,"US$ 100–150 mil","Acima de US$ 150 mil"))))</f>
        <v/>
      </c>
    </row>
    <row r="81">
      <c r="A81" t="n">
        <v>85</v>
      </c>
      <c r="B81" t="inlineStr">
        <is>
          <t>2026-12-28</t>
        </is>
      </c>
      <c r="C81" t="inlineStr">
        <is>
          <t>Colton Richardson</t>
        </is>
      </c>
      <c r="D81" t="inlineStr">
        <is>
          <t>911 GT3</t>
        </is>
      </c>
      <c r="E81" t="n">
        <v>2024</v>
      </c>
      <c r="F81" s="13" t="n">
        <v>224000</v>
      </c>
      <c r="G81" s="16" t="n">
        <v>3000</v>
      </c>
      <c r="H81" t="inlineStr">
        <is>
          <t>Wire Transfer</t>
        </is>
      </c>
      <c r="I81" t="inlineStr">
        <is>
          <t>Boise</t>
        </is>
      </c>
      <c r="J81" t="inlineStr">
        <is>
          <t>ID</t>
        </is>
      </c>
      <c r="K81" t="inlineStr">
        <is>
          <t>Karen Diaz</t>
        </is>
      </c>
      <c r="L81" t="inlineStr">
        <is>
          <t>Awaiting Delivery</t>
        </is>
      </c>
      <c r="M81" s="17">
        <f>IFERROR(DATEVALUE(B81),"")</f>
        <v/>
      </c>
      <c r="N81">
        <f>IF(M81="","",YEAR(M81))</f>
        <v/>
      </c>
      <c r="O81">
        <f>IF(M81="","",TEXT(M81,"mmm"))</f>
        <v/>
      </c>
      <c r="P81">
        <f>IF(M81="","",TEXT(M81,"mmm/yyyy"))</f>
        <v/>
      </c>
      <c r="Q81">
        <f>IF(F81="","",IF(F81&lt;75000,"Até US$ 75 mil",IF(F81&lt;100000,"US$ 75–100 mil",IF(F81&lt;150000,"US$ 100–150 mil","Acima de US$ 150 mil"))))</f>
        <v/>
      </c>
    </row>
    <row r="82">
      <c r="A82" t="n">
        <v>86</v>
      </c>
      <c r="B82" t="inlineStr">
        <is>
          <t>2027-01-15</t>
        </is>
      </c>
      <c r="C82" t="inlineStr">
        <is>
          <t>Mason Stewart</t>
        </is>
      </c>
      <c r="D82" t="inlineStr">
        <is>
          <t>911 Carrera</t>
        </is>
      </c>
      <c r="E82" t="n">
        <v>2024</v>
      </c>
      <c r="F82" s="13" t="n">
        <v>126900</v>
      </c>
      <c r="G82" s="16" t="n">
        <v>7200</v>
      </c>
      <c r="H82" t="inlineStr">
        <is>
          <t>Credit Card</t>
        </is>
      </c>
      <c r="I82" t="inlineStr">
        <is>
          <t>Orlando</t>
        </is>
      </c>
      <c r="J82" t="inlineStr">
        <is>
          <t>FL</t>
        </is>
      </c>
      <c r="K82" t="inlineStr">
        <is>
          <t>kevin brown</t>
        </is>
      </c>
      <c r="L82" t="inlineStr">
        <is>
          <t>Delivered</t>
        </is>
      </c>
      <c r="M82" s="17">
        <f>IFERROR(DATEVALUE(B82),"")</f>
        <v/>
      </c>
      <c r="N82">
        <f>IF(M82="","",YEAR(M82))</f>
        <v/>
      </c>
      <c r="O82">
        <f>IF(M82="","",TEXT(M82,"mmm"))</f>
        <v/>
      </c>
      <c r="P82">
        <f>IF(M82="","",TEXT(M82,"mmm/yyyy"))</f>
        <v/>
      </c>
      <c r="Q82">
        <f>IF(F82="","",IF(F82&lt;75000,"Até US$ 75 mil",IF(F82&lt;100000,"US$ 75–100 mil",IF(F82&lt;150000,"US$ 100–150 mil","Acima de US$ 150 mil"))))</f>
        <v/>
      </c>
    </row>
    <row r="83">
      <c r="A83" t="n">
        <v>87</v>
      </c>
      <c r="B83" t="inlineStr">
        <is>
          <t>2027-01-29</t>
        </is>
      </c>
      <c r="C83" t="inlineStr">
        <is>
          <t>Harper Reed</t>
        </is>
      </c>
      <c r="D83" t="inlineStr">
        <is>
          <t>Cayenne</t>
        </is>
      </c>
      <c r="E83" t="n">
        <v>2023</v>
      </c>
      <c r="F83" s="13" t="n">
        <v>84500</v>
      </c>
      <c r="G83" s="16" t="n">
        <v>21400</v>
      </c>
      <c r="H83" t="inlineStr">
        <is>
          <t>Bank Transfer</t>
        </is>
      </c>
      <c r="I83" t="inlineStr">
        <is>
          <t>San Jose</t>
        </is>
      </c>
      <c r="J83" t="inlineStr">
        <is>
          <t>CA</t>
        </is>
      </c>
      <c r="K83" t="inlineStr">
        <is>
          <t>AMANDA Lee</t>
        </is>
      </c>
      <c r="L83" t="inlineStr">
        <is>
          <t>Pending</t>
        </is>
      </c>
      <c r="M83" s="17">
        <f>IFERROR(DATEVALUE(B83),"")</f>
        <v/>
      </c>
      <c r="N83">
        <f>IF(M83="","",YEAR(M83))</f>
        <v/>
      </c>
      <c r="O83">
        <f>IF(M83="","",TEXT(M83,"mmm"))</f>
        <v/>
      </c>
      <c r="P83">
        <f>IF(M83="","",TEXT(M83,"mmm/yyyy"))</f>
        <v/>
      </c>
      <c r="Q83">
        <f>IF(F83="","",IF(F83&lt;75000,"Até US$ 75 mil",IF(F83&lt;100000,"US$ 75–100 mil",IF(F83&lt;150000,"US$ 100–150 mil","Acima de US$ 150 mil"))))</f>
        <v/>
      </c>
    </row>
    <row r="84">
      <c r="A84" t="n">
        <v>88</v>
      </c>
      <c r="B84" t="inlineStr">
        <is>
          <t>2027-02-11</t>
        </is>
      </c>
      <c r="C84" t="inlineStr">
        <is>
          <t>Tyler-Morris</t>
        </is>
      </c>
      <c r="D84" t="inlineStr">
        <is>
          <t>Macan S</t>
        </is>
      </c>
      <c r="E84" t="n">
        <v>2022</v>
      </c>
      <c r="F84" s="13" t="n">
        <v>69800</v>
      </c>
      <c r="G84" s="16" t="n">
        <v>26300</v>
      </c>
      <c r="H84" t="inlineStr">
        <is>
          <t>Financing</t>
        </is>
      </c>
      <c r="I84" t="inlineStr">
        <is>
          <t>Tampa</t>
        </is>
      </c>
      <c r="J84" t="inlineStr">
        <is>
          <t>FL</t>
        </is>
      </c>
      <c r="K84" t="inlineStr">
        <is>
          <t>Brian Hall</t>
        </is>
      </c>
      <c r="L84" t="inlineStr">
        <is>
          <t>Delivered</t>
        </is>
      </c>
      <c r="M84" s="17">
        <f>IFERROR(DATEVALUE(B84),"")</f>
        <v/>
      </c>
      <c r="N84">
        <f>IF(M84="","",YEAR(M84))</f>
        <v/>
      </c>
      <c r="O84">
        <f>IF(M84="","",TEXT(M84,"mmm"))</f>
        <v/>
      </c>
      <c r="P84">
        <f>IF(M84="","",TEXT(M84,"mmm/yyyy"))</f>
        <v/>
      </c>
      <c r="Q84">
        <f>IF(F84="","",IF(F84&lt;75000,"Até US$ 75 mil",IF(F84&lt;100000,"US$ 75–100 mil",IF(F84&lt;150000,"US$ 100–150 mil","Acima de US$ 150 mil"))))</f>
        <v/>
      </c>
    </row>
    <row r="85">
      <c r="A85" t="n">
        <v>89</v>
      </c>
      <c r="B85" t="inlineStr">
        <is>
          <t>INVALID</t>
        </is>
      </c>
      <c r="C85" t="inlineStr">
        <is>
          <t>Natalie Brooks</t>
        </is>
      </c>
      <c r="D85" t="inlineStr">
        <is>
          <t>Taycan 4S</t>
        </is>
      </c>
      <c r="E85" t="n">
        <v>2025</v>
      </c>
      <c r="F85" s="13" t="n">
        <v>132700</v>
      </c>
      <c r="G85" s="16" t="n">
        <v>0</v>
      </c>
      <c r="H85" t="inlineStr">
        <is>
          <t>Wire Transfer</t>
        </is>
      </c>
      <c r="I85" t="inlineStr">
        <is>
          <t>Denver</t>
        </is>
      </c>
      <c r="J85" t="inlineStr">
        <is>
          <t>CO</t>
        </is>
      </c>
      <c r="K85" t="inlineStr">
        <is>
          <t>jessica white</t>
        </is>
      </c>
      <c r="L85" t="inlineStr">
        <is>
          <t>In Transit</t>
        </is>
      </c>
      <c r="M85" s="17">
        <f>IFERROR(DATEVALUE(B85),"")</f>
        <v/>
      </c>
      <c r="N85">
        <f>IF(M85="","",YEAR(M85))</f>
        <v/>
      </c>
      <c r="O85">
        <f>IF(M85="","",TEXT(M85,"mmm"))</f>
        <v/>
      </c>
      <c r="P85">
        <f>IF(M85="","",TEXT(M85,"mmm/yyyy"))</f>
        <v/>
      </c>
      <c r="Q85">
        <f>IF(F85="","",IF(F85&lt;75000,"Até US$ 75 mil",IF(F85&lt;100000,"US$ 75–100 mil",IF(F85&lt;150000,"US$ 100–150 mil","Acima de US$ 150 mil"))))</f>
        <v/>
      </c>
    </row>
    <row r="86">
      <c r="A86" t="n">
        <v>90</v>
      </c>
      <c r="B86" t="inlineStr">
        <is>
          <t>2027-03-05</t>
        </is>
      </c>
      <c r="C86" t="inlineStr">
        <is>
          <t>Brandon Parker</t>
        </is>
      </c>
      <c r="D86" t="inlineStr">
        <is>
          <t>Panamera</t>
        </is>
      </c>
      <c r="E86" t="n">
        <v>2021</v>
      </c>
      <c r="F86" s="13" t="n">
        <v>81000</v>
      </c>
      <c r="G86" s="16" t="n">
        <v>42</v>
      </c>
      <c r="H86" t="inlineStr">
        <is>
          <t>Cash</t>
        </is>
      </c>
      <c r="I86" t="inlineStr">
        <is>
          <t>Austin</t>
        </is>
      </c>
      <c r="J86" t="inlineStr">
        <is>
          <t>TX</t>
        </is>
      </c>
      <c r="K86" t="inlineStr">
        <is>
          <t>Thomas King</t>
        </is>
      </c>
      <c r="L86" t="inlineStr">
        <is>
          <t>Delivered</t>
        </is>
      </c>
      <c r="M86" s="17">
        <f>IFERROR(DATEVALUE(B86),"")</f>
        <v/>
      </c>
      <c r="N86">
        <f>IF(M86="","",YEAR(M86))</f>
        <v/>
      </c>
      <c r="O86">
        <f>IF(M86="","",TEXT(M86,"mmm"))</f>
        <v/>
      </c>
      <c r="P86">
        <f>IF(M86="","",TEXT(M86,"mmm/yyyy"))</f>
        <v/>
      </c>
      <c r="Q86">
        <f>IF(F86="","",IF(F86&lt;75000,"Até US$ 75 mil",IF(F86&lt;100000,"US$ 75–100 mil",IF(F86&lt;150000,"US$ 100–150 mil","Acima de US$ 150 mil"))))</f>
        <v/>
      </c>
    </row>
    <row r="87">
      <c r="A87" t="n">
        <v>91</v>
      </c>
      <c r="B87" t="inlineStr">
        <is>
          <t>2027-03-18</t>
        </is>
      </c>
      <c r="C87" t="inlineStr">
        <is>
          <t>Lauren Foster</t>
        </is>
      </c>
      <c r="D87" t="inlineStr">
        <is>
          <t>718 Cayman</t>
        </is>
      </c>
      <c r="E87" t="n">
        <v>2023</v>
      </c>
      <c r="F87" s="13" t="n">
        <v>78900</v>
      </c>
      <c r="G87" s="16" t="n">
        <v>17500</v>
      </c>
      <c r="H87" t="inlineStr">
        <is>
          <t>Debit Card</t>
        </is>
      </c>
      <c r="I87" t="inlineStr">
        <is>
          <t>Seattle</t>
        </is>
      </c>
      <c r="J87" t="inlineStr">
        <is>
          <t>WA</t>
        </is>
      </c>
      <c r="K87" t="inlineStr">
        <is>
          <t>Victor Lee</t>
        </is>
      </c>
      <c r="L87" t="inlineStr">
        <is>
          <t>Cancelled</t>
        </is>
      </c>
      <c r="M87" s="17">
        <f>IFERROR(DATEVALUE(B87),"")</f>
        <v/>
      </c>
      <c r="N87">
        <f>IF(M87="","",YEAR(M87))</f>
        <v/>
      </c>
      <c r="O87">
        <f>IF(M87="","",TEXT(M87,"mmm"))</f>
        <v/>
      </c>
      <c r="P87">
        <f>IF(M87="","",TEXT(M87,"mmm/yyyy"))</f>
        <v/>
      </c>
      <c r="Q87">
        <f>IF(F87="","",IF(F87&lt;75000,"Até US$ 75 mil",IF(F87&lt;100000,"US$ 75–100 mil",IF(F87&lt;150000,"US$ 100–150 mil","Acima de US$ 150 mil"))))</f>
        <v/>
      </c>
    </row>
    <row r="88">
      <c r="A88" t="n">
        <v>92</v>
      </c>
      <c r="B88" t="inlineStr">
        <is>
          <t>2027-04-02</t>
        </is>
      </c>
      <c r="C88" t="inlineStr">
        <is>
          <t>Adam Hughes</t>
        </is>
      </c>
      <c r="D88" t="inlineStr">
        <is>
          <t>911 Turbo S</t>
        </is>
      </c>
      <c r="E88" t="n">
        <v>2026</v>
      </c>
      <c r="F88" s="13" t="n">
        <v>249300</v>
      </c>
      <c r="G88" s="16" t="n">
        <v>900</v>
      </c>
      <c r="H88" t="inlineStr">
        <is>
          <t>Wire Transfer</t>
        </is>
      </c>
      <c r="I88" t="inlineStr">
        <is>
          <t>Boston</t>
        </is>
      </c>
      <c r="J88" t="inlineStr">
        <is>
          <t>MA</t>
        </is>
      </c>
      <c r="K88" t="inlineStr">
        <is>
          <t>monica green</t>
        </is>
      </c>
      <c r="L88" t="inlineStr">
        <is>
          <t>Awaiting Delivery</t>
        </is>
      </c>
      <c r="M88" s="17">
        <f>IFERROR(DATEVALUE(B88),"")</f>
        <v/>
      </c>
      <c r="N88">
        <f>IF(M88="","",YEAR(M88))</f>
        <v/>
      </c>
      <c r="O88">
        <f>IF(M88="","",TEXT(M88,"mmm"))</f>
        <v/>
      </c>
      <c r="P88">
        <f>IF(M88="","",TEXT(M88,"mmm/yyyy"))</f>
        <v/>
      </c>
      <c r="Q88">
        <f>IF(F88="","",IF(F88&lt;75000,"Até US$ 75 mil",IF(F88&lt;100000,"US$ 75–100 mil",IF(F88&lt;150000,"US$ 100–150 mil","Acima de US$ 150 mil"))))</f>
        <v/>
      </c>
    </row>
    <row r="89">
      <c r="A89" t="n">
        <v>93</v>
      </c>
      <c r="B89" t="inlineStr">
        <is>
          <t>INVALID</t>
        </is>
      </c>
      <c r="C89" t="inlineStr">
        <is>
          <t>Julia Coleman</t>
        </is>
      </c>
      <c r="D89" t="inlineStr">
        <is>
          <t>Cayenne Coupe</t>
        </is>
      </c>
      <c r="E89" t="n">
        <v>2024</v>
      </c>
      <c r="F89" s="13" t="n">
        <v>108750</v>
      </c>
      <c r="G89" s="16" t="n">
        <v>5530</v>
      </c>
      <c r="H89" t="inlineStr">
        <is>
          <t>Wire Transfer</t>
        </is>
      </c>
      <c r="I89" t="inlineStr">
        <is>
          <t>Phoenix</t>
        </is>
      </c>
      <c r="J89" t="inlineStr">
        <is>
          <t>AZ</t>
        </is>
      </c>
      <c r="K89" t="inlineStr">
        <is>
          <t>Gregory Adams</t>
        </is>
      </c>
      <c r="L89" t="inlineStr">
        <is>
          <t>Pending Approval</t>
        </is>
      </c>
      <c r="M89" s="17">
        <f>IFERROR(DATEVALUE(B89),"")</f>
        <v/>
      </c>
      <c r="N89">
        <f>IF(M89="","",YEAR(M89))</f>
        <v/>
      </c>
      <c r="O89">
        <f>IF(M89="","",TEXT(M89,"mmm"))</f>
        <v/>
      </c>
      <c r="P89">
        <f>IF(M89="","",TEXT(M89,"mmm/yyyy"))</f>
        <v/>
      </c>
      <c r="Q89">
        <f>IF(F89="","",IF(F89&lt;75000,"Até US$ 75 mil",IF(F89&lt;100000,"US$ 75–100 mil",IF(F89&lt;150000,"US$ 100–150 mil","Acima de US$ 150 mil"))))</f>
        <v/>
      </c>
    </row>
    <row r="90">
      <c r="A90" t="n">
        <v>94</v>
      </c>
      <c r="B90" t="inlineStr">
        <is>
          <t>INVALID</t>
        </is>
      </c>
      <c r="C90" t="inlineStr">
        <is>
          <t>Caleb Simmons</t>
        </is>
      </c>
      <c r="D90" t="inlineStr">
        <is>
          <t>Macan Electric</t>
        </is>
      </c>
      <c r="E90" t="n">
        <v>2026</v>
      </c>
      <c r="F90" s="13" t="n">
        <v>92600</v>
      </c>
      <c r="G90" s="16" t="n">
        <v>0</v>
      </c>
      <c r="H90" t="inlineStr">
        <is>
          <t>Financing</t>
        </is>
      </c>
      <c r="I90" t="inlineStr">
        <is>
          <t>Chicago</t>
        </is>
      </c>
      <c r="J90" t="inlineStr">
        <is>
          <t>IL</t>
        </is>
      </c>
      <c r="K90" t="inlineStr">
        <is>
          <t>Laura West</t>
        </is>
      </c>
      <c r="L90" t="inlineStr">
        <is>
          <t>Shipped</t>
        </is>
      </c>
      <c r="M90" s="17">
        <f>IFERROR(DATEVALUE(B90),"")</f>
        <v/>
      </c>
      <c r="N90">
        <f>IF(M90="","",YEAR(M90))</f>
        <v/>
      </c>
      <c r="O90">
        <f>IF(M90="","",TEXT(M90,"mmm"))</f>
        <v/>
      </c>
      <c r="P90">
        <f>IF(M90="","",TEXT(M90,"mmm/yyyy"))</f>
        <v/>
      </c>
      <c r="Q90">
        <f>IF(F90="","",IF(F90&lt;75000,"Até US$ 75 mil",IF(F90&lt;100000,"US$ 75–100 mil",IF(F90&lt;150000,"US$ 100–150 mil","Acima de US$ 150 mil"))))</f>
        <v/>
      </c>
    </row>
    <row r="91">
      <c r="A91" t="n">
        <v>95</v>
      </c>
      <c r="B91" t="inlineStr">
        <is>
          <t>2027-05-12</t>
        </is>
      </c>
      <c r="C91" t="inlineStr">
        <is>
          <t>Ariana Price</t>
        </is>
      </c>
      <c r="D91" t="inlineStr">
        <is>
          <t>Taycan Turbo</t>
        </is>
      </c>
      <c r="E91" t="n">
        <v>2025</v>
      </c>
      <c r="F91" s="13" t="n">
        <v>164000</v>
      </c>
      <c r="G91" s="16" t="n">
        <v>0</v>
      </c>
      <c r="H91" t="inlineStr">
        <is>
          <t>ACH Payment</t>
        </is>
      </c>
      <c r="I91" t="inlineStr">
        <is>
          <t>Dallas</t>
        </is>
      </c>
      <c r="J91" t="inlineStr">
        <is>
          <t>TX</t>
        </is>
      </c>
      <c r="K91" t="inlineStr">
        <is>
          <t>Henry King</t>
        </is>
      </c>
      <c r="L91" t="inlineStr">
        <is>
          <t>In Transit</t>
        </is>
      </c>
      <c r="M91" s="17">
        <f>IFERROR(DATEVALUE(B91),"")</f>
        <v/>
      </c>
      <c r="N91">
        <f>IF(M91="","",YEAR(M91))</f>
        <v/>
      </c>
      <c r="O91">
        <f>IF(M91="","",TEXT(M91,"mmm"))</f>
        <v/>
      </c>
      <c r="P91">
        <f>IF(M91="","",TEXT(M91,"mmm/yyyy"))</f>
        <v/>
      </c>
      <c r="Q91">
        <f>IF(F91="","",IF(F91&lt;75000,"Até US$ 75 mil",IF(F91&lt;100000,"US$ 75–100 mil",IF(F91&lt;150000,"US$ 100–150 mil","Acima de US$ 150 mil"))))</f>
        <v/>
      </c>
    </row>
    <row r="92">
      <c r="A92" t="n">
        <v>96</v>
      </c>
      <c r="B92" t="inlineStr">
        <is>
          <t>2027-05-27</t>
        </is>
      </c>
      <c r="C92" t="inlineStr">
        <is>
          <t>Owen Rivera</t>
        </is>
      </c>
      <c r="D92" t="inlineStr">
        <is>
          <t>Panamera 4S</t>
        </is>
      </c>
      <c r="E92" t="n">
        <v>2024</v>
      </c>
      <c r="F92" s="13" t="n">
        <v>119000</v>
      </c>
      <c r="G92" s="16" t="n">
        <v>13400</v>
      </c>
      <c r="H92" t="inlineStr">
        <is>
          <t>Credit Card</t>
        </is>
      </c>
      <c r="I92" t="inlineStr">
        <is>
          <t>San Francisco</t>
        </is>
      </c>
      <c r="J92" t="inlineStr">
        <is>
          <t>CA</t>
        </is>
      </c>
      <c r="K92" t="inlineStr">
        <is>
          <t>amber clark</t>
        </is>
      </c>
      <c r="L92" t="inlineStr">
        <is>
          <t>Delivered</t>
        </is>
      </c>
      <c r="M92" s="17">
        <f>IFERROR(DATEVALUE(B92),"")</f>
        <v/>
      </c>
      <c r="N92">
        <f>IF(M92="","",YEAR(M92))</f>
        <v/>
      </c>
      <c r="O92">
        <f>IF(M92="","",TEXT(M92,"mmm"))</f>
        <v/>
      </c>
      <c r="P92">
        <f>IF(M92="","",TEXT(M92,"mmm/yyyy"))</f>
        <v/>
      </c>
      <c r="Q92">
        <f>IF(F92="","",IF(F92&lt;75000,"Até US$ 75 mil",IF(F92&lt;100000,"US$ 75–100 mil",IF(F92&lt;150000,"US$ 100–150 mil","Acima de US$ 150 mil"))))</f>
        <v/>
      </c>
    </row>
    <row r="93">
      <c r="A93" t="n">
        <v>97</v>
      </c>
      <c r="B93" t="inlineStr">
        <is>
          <t>INVALID</t>
        </is>
      </c>
      <c r="C93" t="inlineStr">
        <is>
          <t>Nora Bennett</t>
        </is>
      </c>
      <c r="D93" t="inlineStr">
        <is>
          <t>911 GT3</t>
        </is>
      </c>
      <c r="E93" t="n">
        <v>2026</v>
      </c>
      <c r="F93" s="13" t="n">
        <v>232500</v>
      </c>
      <c r="G93" s="16" t="n">
        <v>1700</v>
      </c>
      <c r="H93" t="inlineStr">
        <is>
          <t>Wire Transfer</t>
        </is>
      </c>
      <c r="I93" t="inlineStr">
        <is>
          <t>Las Vegas</t>
        </is>
      </c>
      <c r="J93" t="inlineStr">
        <is>
          <t>NV</t>
        </is>
      </c>
      <c r="K93" t="inlineStr">
        <is>
          <t>PETER Lane</t>
        </is>
      </c>
      <c r="L93" t="inlineStr">
        <is>
          <t>Pending</t>
        </is>
      </c>
      <c r="M93" s="17">
        <f>IFERROR(DATEVALUE(B93),"")</f>
        <v/>
      </c>
      <c r="N93">
        <f>IF(M93="","",YEAR(M93))</f>
        <v/>
      </c>
      <c r="O93">
        <f>IF(M93="","",TEXT(M93,"mmm"))</f>
        <v/>
      </c>
      <c r="P93">
        <f>IF(M93="","",TEXT(M93,"mmm/yyyy"))</f>
        <v/>
      </c>
      <c r="Q93">
        <f>IF(F93="","",IF(F93&lt;75000,"Até US$ 75 mil",IF(F93&lt;100000,"US$ 75–100 mil",IF(F93&lt;150000,"US$ 100–150 mil","Acima de US$ 150 mil"))))</f>
        <v/>
      </c>
    </row>
    <row r="94">
      <c r="A94" t="n">
        <v>98</v>
      </c>
      <c r="B94" t="inlineStr">
        <is>
          <t>2027-06-18</t>
        </is>
      </c>
      <c r="C94" t="inlineStr">
        <is>
          <t>Isaac Turner</t>
        </is>
      </c>
      <c r="D94" t="inlineStr">
        <is>
          <t>Cayenne E-Hybrid</t>
        </is>
      </c>
      <c r="E94" t="n">
        <v>2023</v>
      </c>
      <c r="F94" s="13" t="n">
        <v>96800</v>
      </c>
      <c r="G94" s="16" t="n">
        <v>14000</v>
      </c>
      <c r="H94" t="inlineStr">
        <is>
          <t>Lease</t>
        </is>
      </c>
      <c r="I94" t="inlineStr">
        <is>
          <t>Charlotte</t>
        </is>
      </c>
      <c r="J94" t="inlineStr">
        <is>
          <t>NC</t>
        </is>
      </c>
      <c r="K94" t="inlineStr">
        <is>
          <t>Grace Morris</t>
        </is>
      </c>
      <c r="L94" t="inlineStr">
        <is>
          <t>Delivered</t>
        </is>
      </c>
      <c r="M94" s="17">
        <f>IFERROR(DATEVALUE(B94),"")</f>
        <v/>
      </c>
      <c r="N94">
        <f>IF(M94="","",YEAR(M94))</f>
        <v/>
      </c>
      <c r="O94">
        <f>IF(M94="","",TEXT(M94,"mmm"))</f>
        <v/>
      </c>
      <c r="P94">
        <f>IF(M94="","",TEXT(M94,"mmm/yyyy"))</f>
        <v/>
      </c>
      <c r="Q94">
        <f>IF(F94="","",IF(F94&lt;75000,"Até US$ 75 mil",IF(F94&lt;100000,"US$ 75–100 mil",IF(F94&lt;150000,"US$ 100–150 mil","Acima de US$ 150 mil"))))</f>
        <v/>
      </c>
    </row>
    <row r="95">
      <c r="A95" t="n">
        <v>99</v>
      </c>
      <c r="B95" t="inlineStr">
        <is>
          <t>2027-07-03</t>
        </is>
      </c>
      <c r="C95" t="inlineStr">
        <is>
          <t>Leah Scott</t>
        </is>
      </c>
      <c r="D95" t="inlineStr">
        <is>
          <t>Macan T</t>
        </is>
      </c>
      <c r="E95" t="n">
        <v>2022</v>
      </c>
      <c r="F95" s="13" t="n">
        <v>74400</v>
      </c>
      <c r="G95" s="16" t="n">
        <v>20750</v>
      </c>
      <c r="H95" t="inlineStr">
        <is>
          <t>Cash</t>
        </is>
      </c>
      <c r="I95" t="inlineStr">
        <is>
          <t>Mesa</t>
        </is>
      </c>
      <c r="J95" t="inlineStr">
        <is>
          <t>AZ</t>
        </is>
      </c>
      <c r="K95" t="inlineStr">
        <is>
          <t>Kyle Perry</t>
        </is>
      </c>
      <c r="L95" t="inlineStr">
        <is>
          <t>Awaiting Pickup</t>
        </is>
      </c>
      <c r="M95" s="17">
        <f>IFERROR(DATEVALUE(B95),"")</f>
        <v/>
      </c>
      <c r="N95">
        <f>IF(M95="","",YEAR(M95))</f>
        <v/>
      </c>
      <c r="O95">
        <f>IF(M95="","",TEXT(M95,"mmm"))</f>
        <v/>
      </c>
      <c r="P95">
        <f>IF(M95="","",TEXT(M95,"mmm/yyyy"))</f>
        <v/>
      </c>
      <c r="Q95">
        <f>IF(F95="","",IF(F95&lt;75000,"Até US$ 75 mil",IF(F95&lt;100000,"US$ 75–100 mil",IF(F95&lt;150000,"US$ 100–150 mil","Acima de US$ 150 mil"))))</f>
        <v/>
      </c>
    </row>
    <row r="96">
      <c r="A96" t="n">
        <v>100</v>
      </c>
      <c r="B96" t="inlineStr">
        <is>
          <t>2027-07-22</t>
        </is>
      </c>
      <c r="C96" t="inlineStr">
        <is>
          <t>Christian Bailey</t>
        </is>
      </c>
      <c r="D96" t="inlineStr">
        <is>
          <t>Taycan GTS</t>
        </is>
      </c>
      <c r="E96" t="n">
        <v>2025</v>
      </c>
      <c r="F96" s="13" t="n">
        <v>148500</v>
      </c>
      <c r="G96" s="16" t="n">
        <v>5200</v>
      </c>
      <c r="H96" t="inlineStr">
        <is>
          <t>Crypto Payment</t>
        </is>
      </c>
      <c r="I96" t="inlineStr">
        <is>
          <t>Atlanta</t>
        </is>
      </c>
      <c r="J96" t="inlineStr">
        <is>
          <t>GA</t>
        </is>
      </c>
      <c r="K96" t="inlineStr">
        <is>
          <t>megan reed</t>
        </is>
      </c>
      <c r="L96" t="inlineStr">
        <is>
          <t>Delivered</t>
        </is>
      </c>
      <c r="M96" s="17">
        <f>IFERROR(DATEVALUE(B96),"")</f>
        <v/>
      </c>
      <c r="N96">
        <f>IF(M96="","",YEAR(M96))</f>
        <v/>
      </c>
      <c r="O96">
        <f>IF(M96="","",TEXT(M96,"mmm"))</f>
        <v/>
      </c>
      <c r="P96">
        <f>IF(M96="","",TEXT(M96,"mmm/yyyy"))</f>
        <v/>
      </c>
      <c r="Q96">
        <f>IF(F96="","",IF(F96&lt;75000,"Até US$ 75 mil",IF(F96&lt;100000,"US$ 75–100 mil",IF(F96&lt;150000,"US$ 100–150 mil","Acima de US$ 150 mil"))))</f>
        <v/>
      </c>
    </row>
    <row r="97">
      <c r="A97" t="n">
        <v>101</v>
      </c>
      <c r="B97" t="inlineStr">
        <is>
          <t>2027-08-08</t>
        </is>
      </c>
      <c r="C97" t="inlineStr">
        <is>
          <t>Audrey Russell</t>
        </is>
      </c>
      <c r="D97" t="inlineStr">
        <is>
          <t>718 Boxster</t>
        </is>
      </c>
      <c r="E97" t="n">
        <v>2021</v>
      </c>
      <c r="F97" s="13" t="n">
        <v>71900</v>
      </c>
      <c r="G97" s="16" t="n">
        <v>29600</v>
      </c>
      <c r="H97" t="inlineStr">
        <is>
          <t>Bank Transfer</t>
        </is>
      </c>
      <c r="I97" t="inlineStr">
        <is>
          <t>Long Beach</t>
        </is>
      </c>
      <c r="J97" t="inlineStr">
        <is>
          <t>CA</t>
        </is>
      </c>
      <c r="K97" t="inlineStr">
        <is>
          <t>Carl Simmons</t>
        </is>
      </c>
      <c r="L97" t="inlineStr">
        <is>
          <t>Pending</t>
        </is>
      </c>
      <c r="M97" s="17">
        <f>IFERROR(DATEVALUE(B97),"")</f>
        <v/>
      </c>
      <c r="N97">
        <f>IF(M97="","",YEAR(M97))</f>
        <v/>
      </c>
      <c r="O97">
        <f>IF(M97="","",TEXT(M97,"mmm"))</f>
        <v/>
      </c>
      <c r="P97">
        <f>IF(M97="","",TEXT(M97,"mmm/yyyy"))</f>
        <v/>
      </c>
      <c r="Q97">
        <f>IF(F97="","",IF(F97&lt;75000,"Até US$ 75 mil",IF(F97&lt;100000,"US$ 75–100 mil",IF(F97&lt;150000,"US$ 100–150 mil","Acima de US$ 150 mil"))))</f>
        <v/>
      </c>
    </row>
    <row r="98">
      <c r="A98" t="n">
        <v>102</v>
      </c>
      <c r="B98" t="inlineStr">
        <is>
          <t>INVALID</t>
        </is>
      </c>
      <c r="C98" t="inlineStr">
        <is>
          <t>Hunter Griffin</t>
        </is>
      </c>
      <c r="D98" t="inlineStr">
        <is>
          <t>911 Targa 4</t>
        </is>
      </c>
      <c r="E98" t="n">
        <v>2024</v>
      </c>
      <c r="F98" s="13" t="n">
        <v>143250</v>
      </c>
      <c r="G98" s="16" t="n">
        <v>3100</v>
      </c>
      <c r="H98" t="inlineStr">
        <is>
          <t>Financing</t>
        </is>
      </c>
      <c r="I98" t="inlineStr">
        <is>
          <t>Oakland</t>
        </is>
      </c>
      <c r="J98" t="inlineStr">
        <is>
          <t>CA</t>
        </is>
      </c>
      <c r="K98" t="inlineStr">
        <is>
          <t>LINDA cole</t>
        </is>
      </c>
      <c r="L98" t="inlineStr">
        <is>
          <t>In Transit</t>
        </is>
      </c>
      <c r="M98" s="17">
        <f>IFERROR(DATEVALUE(B98),"")</f>
        <v/>
      </c>
      <c r="N98">
        <f>IF(M98="","",YEAR(M98))</f>
        <v/>
      </c>
      <c r="O98">
        <f>IF(M98="","",TEXT(M98,"mmm"))</f>
        <v/>
      </c>
      <c r="P98">
        <f>IF(M98="","",TEXT(M98,"mmm/yyyy"))</f>
        <v/>
      </c>
      <c r="Q98">
        <f>IF(F98="","",IF(F98&lt;75000,"Até US$ 75 mil",IF(F98&lt;100000,"US$ 75–100 mil",IF(F98&lt;150000,"US$ 100–150 mil","Acima de US$ 150 mil"))))</f>
        <v/>
      </c>
    </row>
    <row r="99">
      <c r="A99" t="n">
        <v>103</v>
      </c>
      <c r="B99" t="inlineStr">
        <is>
          <t>2027-09-19</t>
        </is>
      </c>
      <c r="C99" t="inlineStr">
        <is>
          <t>Scarlett Diaz</t>
        </is>
      </c>
      <c r="D99" t="inlineStr">
        <is>
          <t>Panamera Turbo</t>
        </is>
      </c>
      <c r="E99" t="n">
        <v>2020</v>
      </c>
      <c r="F99" s="13" t="n">
        <v>137500</v>
      </c>
      <c r="G99" s="16" t="n">
        <v>48000</v>
      </c>
      <c r="H99" t="inlineStr">
        <is>
          <t>Wire Transfer</t>
        </is>
      </c>
      <c r="I99" t="inlineStr">
        <is>
          <t>Tulsa</t>
        </is>
      </c>
      <c r="J99" t="inlineStr">
        <is>
          <t>OK</t>
        </is>
      </c>
      <c r="K99" t="inlineStr">
        <is>
          <t>Martin Brooks</t>
        </is>
      </c>
      <c r="L99" t="inlineStr">
        <is>
          <t>Delivered</t>
        </is>
      </c>
      <c r="M99" s="17">
        <f>IFERROR(DATEVALUE(B99),"")</f>
        <v/>
      </c>
      <c r="N99">
        <f>IF(M99="","",YEAR(M99))</f>
        <v/>
      </c>
      <c r="O99">
        <f>IF(M99="","",TEXT(M99,"mmm"))</f>
        <v/>
      </c>
      <c r="P99">
        <f>IF(M99="","",TEXT(M99,"mmm/yyyy"))</f>
        <v/>
      </c>
      <c r="Q99">
        <f>IF(F99="","",IF(F99&lt;75000,"Até US$ 75 mil",IF(F99&lt;100000,"US$ 75–100 mil",IF(F99&lt;150000,"US$ 100–150 mil","Acima de US$ 150 mil"))))</f>
        <v/>
      </c>
    </row>
    <row r="100">
      <c r="A100" t="n">
        <v>104</v>
      </c>
      <c r="B100" t="inlineStr">
        <is>
          <t>2027-09-25</t>
        </is>
      </c>
      <c r="C100" t="inlineStr">
        <is>
          <t>Eli Jenkins</t>
        </is>
      </c>
      <c r="D100" t="inlineStr">
        <is>
          <t>Cayenne Turbo GT</t>
        </is>
      </c>
      <c r="E100" t="n">
        <v>2025</v>
      </c>
      <c r="F100" s="13" t="n">
        <v>204800</v>
      </c>
      <c r="G100" s="16" t="n">
        <v>3300</v>
      </c>
      <c r="H100" t="inlineStr">
        <is>
          <t>Credit Card</t>
        </is>
      </c>
      <c r="I100" t="inlineStr">
        <is>
          <t>Wichita</t>
        </is>
      </c>
      <c r="J100" t="inlineStr">
        <is>
          <t>KS</t>
        </is>
      </c>
      <c r="K100" t="inlineStr">
        <is>
          <t>Diana Long</t>
        </is>
      </c>
      <c r="L100" t="inlineStr">
        <is>
          <t>Pending</t>
        </is>
      </c>
      <c r="M100" s="17">
        <f>IFERROR(DATEVALUE(B100),"")</f>
        <v/>
      </c>
      <c r="N100">
        <f>IF(M100="","",YEAR(M100))</f>
        <v/>
      </c>
      <c r="O100">
        <f>IF(M100="","",TEXT(M100,"mmm"))</f>
        <v/>
      </c>
      <c r="P100">
        <f>IF(M100="","",TEXT(M100,"mmm/yyyy"))</f>
        <v/>
      </c>
      <c r="Q100">
        <f>IF(F100="","",IF(F100&lt;75000,"Até US$ 75 mil",IF(F100&lt;100000,"US$ 75–100 mil",IF(F100&lt;150000,"US$ 100–150 mil","Acima de US$ 150 mil"))))</f>
        <v/>
      </c>
    </row>
    <row r="101">
      <c r="A101" t="n">
        <v>105</v>
      </c>
      <c r="B101" t="inlineStr">
        <is>
          <t>2027-10-01</t>
        </is>
      </c>
      <c r="C101" t="inlineStr">
        <is>
          <t>Madison Powell</t>
        </is>
      </c>
      <c r="D101" t="inlineStr">
        <is>
          <t>911 Dakar</t>
        </is>
      </c>
      <c r="E101" t="n">
        <v>2024</v>
      </c>
      <c r="F101" s="13" t="n">
        <v>271700</v>
      </c>
      <c r="G101" s="16" t="n">
        <v>1050</v>
      </c>
      <c r="H101" t="inlineStr">
        <is>
          <t>Lease</t>
        </is>
      </c>
      <c r="I101" t="inlineStr">
        <is>
          <t>New Orleans</t>
        </is>
      </c>
      <c r="J101" t="inlineStr">
        <is>
          <t>LA</t>
        </is>
      </c>
      <c r="K101" t="inlineStr">
        <is>
          <t>Steve Ross</t>
        </is>
      </c>
      <c r="L101" t="inlineStr">
        <is>
          <t>Delivered</t>
        </is>
      </c>
      <c r="M101" s="17">
        <f>IFERROR(DATEVALUE(B101),"")</f>
        <v/>
      </c>
      <c r="N101">
        <f>IF(M101="","",YEAR(M101))</f>
        <v/>
      </c>
      <c r="O101">
        <f>IF(M101="","",TEXT(M101,"mmm"))</f>
        <v/>
      </c>
      <c r="P101">
        <f>IF(M101="","",TEXT(M101,"mmm/yyyy"))</f>
        <v/>
      </c>
      <c r="Q101">
        <f>IF(F101="","",IF(F101&lt;75000,"Até US$ 75 mil",IF(F101&lt;100000,"US$ 75–100 mil",IF(F101&lt;150000,"US$ 100–150 mil","Acima de US$ 150 mil"))))</f>
        <v/>
      </c>
    </row>
  </sheetData>
  <autoFilter ref="A1:Q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8" t="inlineStr">
        <is>
          <t>GUIA AUTOEDUCATIVO — APRENDA EXCEL COM O DASHBOARD</t>
        </is>
      </c>
    </row>
    <row r="2">
      <c r="A2" s="4" t="n"/>
    </row>
    <row r="3">
      <c r="A3" s="4" t="inlineStr">
        <is>
          <t>1. Comece pelos filtros</t>
        </is>
      </c>
      <c r="B3" t="inlineStr">
        <is>
          <t>Na aba Dashboard, altere Modelo e Status. Observe como os quatro KPIs mudam automaticamente.</t>
        </is>
      </c>
    </row>
    <row r="4">
      <c r="A4" s="19" t="inlineStr">
        <is>
          <t>2. Entenda os KPIs</t>
        </is>
      </c>
      <c r="B4" s="20" t="inlineStr">
        <is>
          <t>Total de vendas = contagem; Faturamento = soma; Ticket médio = faturamento/vendas; Quilometragem média = média dos veículos filtrados.</t>
        </is>
      </c>
    </row>
    <row r="5">
      <c r="A5" s="19" t="inlineStr">
        <is>
          <t>3. Leia os gráficos</t>
        </is>
      </c>
      <c r="B5" s="20" t="inlineStr">
        <is>
          <t>O gráfico de barras mostra quais modelos concentram faturamento. O gráfico de pizza mostra a distribuição dos status.</t>
        </is>
      </c>
    </row>
    <row r="6">
      <c r="A6" s="19" t="inlineStr">
        <is>
          <t>4. Investigue a base</t>
        </is>
      </c>
      <c r="B6" s="20" t="inlineStr">
        <is>
          <t>Na aba Base_Dados, use os filtros da tabela para localizar vendas, modelos, preços, pagamentos e vendedores.</t>
        </is>
      </c>
    </row>
    <row r="7">
      <c r="A7" s="19" t="inlineStr">
        <is>
          <t>5. Estude as fórmulas</t>
        </is>
      </c>
      <c r="B7" s="20" t="inlineStr">
        <is>
          <t>Clique nas células dos KPIs e das tabelas-resumo para ver SUMPRODUCT, IFERROR e operações de agregação.</t>
        </is>
      </c>
    </row>
    <row r="8">
      <c r="A8" s="19" t="inlineStr">
        <is>
          <t>6. Faça perguntas</t>
        </is>
      </c>
      <c r="B8" s="20" t="inlineStr">
        <is>
          <t>Ex.: Qual modelo gera maior faturamento? Qual forma de pagamento aparece mais? Quantas vendas estão entregues?</t>
        </is>
      </c>
    </row>
    <row r="9">
      <c r="A9" s="19" t="inlineStr">
        <is>
          <t>7. Crie sua própria análise</t>
        </is>
      </c>
      <c r="B9" s="20" t="inlineStr">
        <is>
          <t>Copie uma tabela-resumo e altere o campo analisado. Tente trocar Modelo por vendedor, estado ou forma de pagamento.</t>
        </is>
      </c>
    </row>
    <row r="10">
      <c r="A10" s="19" t="inlineStr">
        <is>
          <t>8. Regra importante</t>
        </is>
      </c>
      <c r="B10" s="20" t="inlineStr">
        <is>
          <t>Os dados originais foram preservados. Registros com data INVALID não são corrigidos por suposição.</t>
        </is>
      </c>
    </row>
    <row r="11">
      <c r="A11" s="20" t="n"/>
      <c r="B11" s="20" t="n"/>
    </row>
    <row r="14">
      <c r="A14" s="3" t="inlineStr">
        <is>
          <t>DESAFIOS PRÁTICOS</t>
        </is>
      </c>
    </row>
    <row r="15">
      <c r="A15" t="inlineStr">
        <is>
          <t>1) Filtre um modelo e descubra seu ticket médio.</t>
        </is>
      </c>
    </row>
    <row r="16">
      <c r="A16" t="inlineStr">
        <is>
          <t>2) Filtre 'Delivered' e compare o faturamento com 'Pending'.</t>
        </is>
      </c>
    </row>
    <row r="17">
      <c r="A17" t="inlineStr">
        <is>
          <t>3) Identifique os 5 modelos com maior faturamento.</t>
        </is>
      </c>
    </row>
    <row r="18">
      <c r="A18" t="inlineStr">
        <is>
          <t>4) Descubra qual forma de pagamento possui maior faturamento.</t>
        </is>
      </c>
    </row>
    <row r="19">
      <c r="A19" t="inlineStr">
        <is>
          <t>5) Na Base_Dados, encontre quantos registros têm data INVALID.</t>
        </is>
      </c>
    </row>
    <row r="20">
      <c r="A20" t="inlineStr">
        <is>
          <t>6) Crie um gráfico novo por vendedor.</t>
        </is>
      </c>
    </row>
  </sheetData>
  <mergeCells count="7">
    <mergeCell ref="A20:B20"/>
    <mergeCell ref="A16:B16"/>
    <mergeCell ref="A15:B15"/>
    <mergeCell ref="A19:B19"/>
    <mergeCell ref="A1:F2"/>
    <mergeCell ref="A17:B17"/>
    <mergeCell ref="A18:B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28" customWidth="1" min="3" max="3"/>
  </cols>
  <sheetData>
    <row r="1">
      <c r="A1" s="12" t="inlineStr">
        <is>
          <t>Campo</t>
        </is>
      </c>
      <c r="B1" s="12" t="inlineStr">
        <is>
          <t>Descrição / finalidade</t>
        </is>
      </c>
      <c r="C1" s="12" t="inlineStr">
        <is>
          <t>Exemplo</t>
        </is>
      </c>
    </row>
    <row r="2">
      <c r="A2" t="inlineStr">
        <is>
          <t>sale_id</t>
        </is>
      </c>
      <c r="B2" t="inlineStr">
        <is>
          <t>Identificador da venda</t>
        </is>
      </c>
      <c r="C2" t="inlineStr">
        <is>
          <t>6</t>
        </is>
      </c>
    </row>
    <row r="3">
      <c r="A3" t="inlineStr">
        <is>
          <t>SaleDateSanitized</t>
        </is>
      </c>
      <c r="B3" t="inlineStr">
        <is>
          <t>Data da venda; a fonte contém registros INVALID</t>
        </is>
      </c>
      <c r="C3" t="inlineStr">
        <is>
          <t>2024-03-14</t>
        </is>
      </c>
    </row>
    <row r="4">
      <c r="A4" t="inlineStr">
        <is>
          <t>customer_name</t>
        </is>
      </c>
      <c r="B4" t="inlineStr">
        <is>
          <t>Nome do cliente</t>
        </is>
      </c>
      <c r="C4" t="inlineStr">
        <is>
          <t>Michael Adams</t>
        </is>
      </c>
    </row>
    <row r="5">
      <c r="A5" t="inlineStr">
        <is>
          <t>PorscheModelSanitized</t>
        </is>
      </c>
      <c r="B5" t="inlineStr">
        <is>
          <t>Modelo Porsche vendido</t>
        </is>
      </c>
      <c r="C5" t="inlineStr">
        <is>
          <t>718 Cayman</t>
        </is>
      </c>
    </row>
    <row r="6">
      <c r="A6" t="inlineStr">
        <is>
          <t>ModelYearSanitized</t>
        </is>
      </c>
      <c r="B6" t="inlineStr">
        <is>
          <t>Ano/model year do veículo</t>
        </is>
      </c>
      <c r="C6" t="inlineStr">
        <is>
          <t>2024</t>
        </is>
      </c>
    </row>
    <row r="7">
      <c r="A7" t="inlineStr">
        <is>
          <t>SalesPriceSanitized</t>
        </is>
      </c>
      <c r="B7" t="inlineStr">
        <is>
          <t>Preço da venda</t>
        </is>
      </c>
      <c r="C7" t="inlineStr">
        <is>
          <t>235000</t>
        </is>
      </c>
    </row>
    <row r="8">
      <c r="A8" t="inlineStr">
        <is>
          <t>VehicleMileageSanitized</t>
        </is>
      </c>
      <c r="B8" t="inlineStr">
        <is>
          <t>Quilometragem do veículo</t>
        </is>
      </c>
      <c r="C8" t="inlineStr">
        <is>
          <t>1200</t>
        </is>
      </c>
    </row>
    <row r="9">
      <c r="A9" t="inlineStr">
        <is>
          <t>PayMethodSanitized</t>
        </is>
      </c>
      <c r="B9" t="inlineStr">
        <is>
          <t>Forma de pagamento</t>
        </is>
      </c>
      <c r="C9" t="inlineStr">
        <is>
          <t>Wire Transfer</t>
        </is>
      </c>
    </row>
    <row r="10">
      <c r="A10" t="inlineStr">
        <is>
          <t>CitySanitized</t>
        </is>
      </c>
      <c r="B10" t="inlineStr">
        <is>
          <t>Cidade</t>
        </is>
      </c>
      <c r="C10" t="inlineStr">
        <is>
          <t>Seattle</t>
        </is>
      </c>
    </row>
    <row r="11">
      <c r="A11" t="inlineStr">
        <is>
          <t>StateSanitized</t>
        </is>
      </c>
      <c r="B11" t="inlineStr">
        <is>
          <t>Estado/UF</t>
        </is>
      </c>
      <c r="C11" t="inlineStr">
        <is>
          <t>WA</t>
        </is>
      </c>
    </row>
    <row r="12">
      <c r="A12" t="inlineStr">
        <is>
          <t>salesperson</t>
        </is>
      </c>
      <c r="B12" t="inlineStr">
        <is>
          <t>Vendedor responsável</t>
        </is>
      </c>
      <c r="C12" t="inlineStr">
        <is>
          <t>Thomas King</t>
        </is>
      </c>
    </row>
    <row r="13">
      <c r="A13" t="inlineStr">
        <is>
          <t>DeliveryStatusSanitized</t>
        </is>
      </c>
      <c r="B13" t="inlineStr">
        <is>
          <t>Status da entrega</t>
        </is>
      </c>
      <c r="C13" t="inlineStr">
        <is>
          <t>Delivered</t>
        </is>
      </c>
    </row>
    <row r="14">
      <c r="A14" t="inlineStr">
        <is>
          <t>Data_Valida</t>
        </is>
      </c>
      <c r="B14" t="inlineStr">
        <is>
          <t>Data convertida para análise quando possível</t>
        </is>
      </c>
      <c r="C14" t="inlineStr">
        <is>
          <t>14/03/2024</t>
        </is>
      </c>
    </row>
    <row r="15">
      <c r="A15" t="inlineStr">
        <is>
          <t>Ano</t>
        </is>
      </c>
      <c r="B15" t="inlineStr">
        <is>
          <t>Ano extraído da data válida</t>
        </is>
      </c>
      <c r="C15" t="inlineStr">
        <is>
          <t>2024</t>
        </is>
      </c>
    </row>
    <row r="16">
      <c r="A16" t="inlineStr">
        <is>
          <t>Mes</t>
        </is>
      </c>
      <c r="B16" t="inlineStr">
        <is>
          <t>Mês abreviado da data válida</t>
        </is>
      </c>
      <c r="C16" t="inlineStr">
        <is>
          <t>Mar</t>
        </is>
      </c>
    </row>
    <row r="17">
      <c r="A17" t="inlineStr">
        <is>
          <t>Mes_Ano</t>
        </is>
      </c>
      <c r="B17" t="inlineStr">
        <is>
          <t>Mês/ano para análises temporais</t>
        </is>
      </c>
      <c r="C17" t="inlineStr">
        <is>
          <t>Mar/2024</t>
        </is>
      </c>
    </row>
    <row r="18">
      <c r="A18" t="inlineStr">
        <is>
          <t>Faixa_Preco</t>
        </is>
      </c>
      <c r="B18" t="inlineStr">
        <is>
          <t>Classificação didática do preço</t>
        </is>
      </c>
      <c r="C18" t="inlineStr">
        <is>
          <t>US$ 100–150 mil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2026-09-13T23:26:12Z</dcterms:created>
  <dcterms:modified xmlns:dcterms="http://purl.org/dc/terms/" xmlns:xsi="http://www.w3.org/2001/XMLSchema-instance" xsi:type="dcterms:W3CDTF">2026-09-13T23:26:12Z</dcterms:modified>
</cp:coreProperties>
</file>